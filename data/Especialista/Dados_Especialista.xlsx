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xr:revisionPtr revIDLastSave="0" documentId="8_{1C5B0D17-AD18-45BB-ABDA-D928FB8C87D1}" xr6:coauthVersionLast="47" xr6:coauthVersionMax="47" xr10:uidLastSave="{00000000-0000-0000-0000-000000000000}"/>
  <bookViews>
    <workbookView xWindow="0" yWindow="0" windowWidth="0" windowHeight="0" firstSheet="8" activeTab="10" xr2:uid="{00000000-000D-0000-FFFF-FFFF00000000}"/>
  </bookViews>
  <sheets>
    <sheet name="Perc_sucessos" sheetId="13" r:id="rId1"/>
    <sheet name="Suc_Esp_Tempo" sheetId="2" r:id="rId2"/>
    <sheet name="Suc_Esp_Velocidade" sheetId="1" r:id="rId3"/>
    <sheet name="Tds_Esp_Distância" sheetId="3" r:id="rId4"/>
    <sheet name="Tds_Esp_Tempo" sheetId="4" r:id="rId5"/>
    <sheet name="Tds_Esp_Velocidade" sheetId="5" r:id="rId6"/>
    <sheet name="Suc_CC_Tempo" sheetId="8" r:id="rId7"/>
    <sheet name="Suc_CC_Velocidade" sheetId="9" r:id="rId8"/>
    <sheet name="Tds_CC_Distância" sheetId="11" r:id="rId9"/>
    <sheet name="Tds_CC_Tempo" sheetId="12" r:id="rId10"/>
    <sheet name="Tds_CC_Velocidade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3" l="1"/>
  <c r="F9" i="13"/>
  <c r="E9" i="13"/>
  <c r="B9" i="13"/>
  <c r="D9" i="13"/>
  <c r="C9" i="13"/>
  <c r="G4" i="13"/>
  <c r="F4" i="13"/>
  <c r="E4" i="13"/>
  <c r="D4" i="13"/>
  <c r="C4" i="13"/>
  <c r="B4" i="13"/>
</calcChain>
</file>

<file path=xl/sharedStrings.xml><?xml version="1.0" encoding="utf-8"?>
<sst xmlns="http://schemas.openxmlformats.org/spreadsheetml/2006/main" count="1036" uniqueCount="51">
  <si>
    <t>Percentual de Sucessos -  Robô CC</t>
  </si>
  <si>
    <t xml:space="preserve">PR </t>
  </si>
  <si>
    <t xml:space="preserve">PBA </t>
  </si>
  <si>
    <t>PG</t>
  </si>
  <si>
    <t xml:space="preserve">PRA </t>
  </si>
  <si>
    <t xml:space="preserve">PRB </t>
  </si>
  <si>
    <t>PRD</t>
  </si>
  <si>
    <t>Percentual de Sucessos -  Robô Especialista</t>
  </si>
  <si>
    <t>Tempo dos Episódios / Completos de 9 m -  Robô Especialista</t>
  </si>
  <si>
    <t>1. ESTATÍSTICAS DESCRITIVAS</t>
  </si>
  <si>
    <t>Variável</t>
  </si>
  <si>
    <t>Média</t>
  </si>
  <si>
    <t>DP</t>
  </si>
  <si>
    <t>Mediana</t>
  </si>
  <si>
    <t>IC 95% Inferior</t>
  </si>
  <si>
    <t>IC 95% Superior</t>
  </si>
  <si>
    <t>Mínimo</t>
  </si>
  <si>
    <t>Máximo</t>
  </si>
  <si>
    <t>CV (%)</t>
  </si>
  <si>
    <t>PR</t>
  </si>
  <si>
    <t>PBA</t>
  </si>
  <si>
    <t>PRA</t>
  </si>
  <si>
    <t>PRB</t>
  </si>
  <si>
    <t>2. TESTE DE LEVENE</t>
  </si>
  <si>
    <t>Estatística F</t>
  </si>
  <si>
    <t>p-valor</t>
  </si>
  <si>
    <t>Resultado</t>
  </si>
  <si>
    <t>&lt; 0,001</t>
  </si>
  <si>
    <t>Não Homogêneas</t>
  </si>
  <si>
    <t>3. ANOVA DE WELCH</t>
  </si>
  <si>
    <t>F</t>
  </si>
  <si>
    <t>gl entre</t>
  </si>
  <si>
    <t>gl dentro</t>
  </si>
  <si>
    <t>Significativa</t>
  </si>
  <si>
    <t>4. TESTE POST-HOC - Games-Howell</t>
  </si>
  <si>
    <t>Grupo 1</t>
  </si>
  <si>
    <t>Grupo 2</t>
  </si>
  <si>
    <t>Diferença</t>
  </si>
  <si>
    <t>Erro Padrão</t>
  </si>
  <si>
    <t>Significativo</t>
  </si>
  <si>
    <t>NÃO</t>
  </si>
  <si>
    <t>SIM</t>
  </si>
  <si>
    <t>Velocidade Média / Completos 9 m -  Robô Especialista</t>
  </si>
  <si>
    <t>Distância em 100 Episódios  - Robôs Especialistas</t>
  </si>
  <si>
    <t>Tempo em 100 Episódios  - Robôs Especialistas</t>
  </si>
  <si>
    <t>Velocidade Média em 100 Episódios -  Robôs Especialistas</t>
  </si>
  <si>
    <t>Tempo dos Episódios / Completos de 9 m -  Generalista CC</t>
  </si>
  <si>
    <t>Velocidade Média / Completos 9 m -  Generalista CC</t>
  </si>
  <si>
    <t>Distância em 100 Episódios  - Generalista CC</t>
  </si>
  <si>
    <t>Tempo em 100 Episódios  - Generalista CC</t>
  </si>
  <si>
    <t>Velocidade Média em 100 Episódios -  Generalista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</si>
</sst>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>
    <font>
      <sz val="11"/>
      <color theme="1"/>
      <name val="Aptos Narrow"/>
      <scheme val="minor"/>
    </font>
    <font>
      <sz val="10"/>
      <color theme="1"/>
      <name val="Arial"/>
    </font>
    <font>
      <sz val="11"/>
      <name val="Aptos Narrow"/>
    </font>
    <font>
      <b/>
      <sz val="10"/>
      <color theme="1"/>
      <name val="Arial"/>
    </font>
    <font>
      <b/>
      <sz val="10"/>
      <color rgb="FF000000"/>
      <name val="Arial"/>
    </font>
    <font>
      <sz val="11"/>
      <color theme="1"/>
      <name val="Aptos Narrow"/>
    </font>
    <font>
      <b/>
      <sz val="11"/>
      <color theme="1"/>
      <name val="Aptos Narrow"/>
    </font>
    <font>
      <sz val="10"/>
      <color theme="1"/>
      <name val="Liberation Sans"/>
    </font>
    <font>
      <sz val="10"/>
      <color theme="1"/>
      <name val="Calibri"/>
      <charset val="1"/>
    </font>
    <font>
      <sz val="10"/>
      <color theme="1"/>
      <name val="Times New Roman"/>
    </font>
    <font>
      <b/>
      <sz val="10"/>
      <color theme="1"/>
      <name val="Times New Roman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 applyFont="1" applyAlignment="1"/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2" fontId="1" fillId="0" borderId="5" xfId="0" applyNumberFormat="1" applyFont="1" applyBorder="1"/>
    <xf numFmtId="2" fontId="1" fillId="0" borderId="7" xfId="0" applyNumberFormat="1" applyFont="1" applyBorder="1"/>
    <xf numFmtId="2" fontId="1" fillId="0" borderId="6" xfId="0" applyNumberFormat="1" applyFont="1" applyBorder="1"/>
    <xf numFmtId="2" fontId="1" fillId="0" borderId="8" xfId="0" applyNumberFormat="1" applyFont="1" applyBorder="1"/>
    <xf numFmtId="2" fontId="1" fillId="0" borderId="0" xfId="0" applyNumberFormat="1" applyFont="1"/>
    <xf numFmtId="2" fontId="1" fillId="0" borderId="9" xfId="0" applyNumberFormat="1" applyFont="1" applyBorder="1"/>
    <xf numFmtId="2" fontId="1" fillId="0" borderId="10" xfId="0" applyNumberFormat="1" applyFont="1" applyBorder="1"/>
    <xf numFmtId="2" fontId="1" fillId="0" borderId="11" xfId="0" applyNumberFormat="1" applyFont="1" applyBorder="1"/>
    <xf numFmtId="2" fontId="1" fillId="0" borderId="12" xfId="0" applyNumberFormat="1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2" fontId="1" fillId="0" borderId="4" xfId="0" applyNumberFormat="1" applyFont="1" applyBorder="1"/>
    <xf numFmtId="2" fontId="1" fillId="0" borderId="14" xfId="0" applyNumberFormat="1" applyFont="1" applyBorder="1"/>
    <xf numFmtId="2" fontId="1" fillId="0" borderId="15" xfId="0" applyNumberFormat="1" applyFont="1" applyBorder="1"/>
    <xf numFmtId="0" fontId="3" fillId="0" borderId="1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2" fontId="7" fillId="0" borderId="5" xfId="0" applyNumberFormat="1" applyFont="1" applyBorder="1"/>
    <xf numFmtId="2" fontId="7" fillId="0" borderId="7" xfId="0" applyNumberFormat="1" applyFont="1" applyBorder="1"/>
    <xf numFmtId="2" fontId="7" fillId="0" borderId="6" xfId="0" applyNumberFormat="1" applyFont="1" applyBorder="1"/>
    <xf numFmtId="2" fontId="7" fillId="0" borderId="8" xfId="0" applyNumberFormat="1" applyFont="1" applyBorder="1"/>
    <xf numFmtId="2" fontId="7" fillId="0" borderId="0" xfId="0" applyNumberFormat="1" applyFont="1"/>
    <xf numFmtId="2" fontId="7" fillId="0" borderId="9" xfId="0" applyNumberFormat="1" applyFont="1" applyBorder="1"/>
    <xf numFmtId="2" fontId="7" fillId="0" borderId="10" xfId="0" applyNumberFormat="1" applyFont="1" applyBorder="1"/>
    <xf numFmtId="2" fontId="7" fillId="0" borderId="11" xfId="0" applyNumberFormat="1" applyFont="1" applyBorder="1"/>
    <xf numFmtId="2" fontId="7" fillId="0" borderId="12" xfId="0" applyNumberFormat="1" applyFont="1" applyBorder="1"/>
    <xf numFmtId="0" fontId="1" fillId="0" borderId="0" xfId="0" applyFont="1"/>
    <xf numFmtId="0" fontId="7" fillId="0" borderId="7" xfId="0" applyFont="1" applyBorder="1"/>
    <xf numFmtId="0" fontId="7" fillId="0" borderId="0" xfId="0" applyFont="1"/>
    <xf numFmtId="0" fontId="7" fillId="0" borderId="11" xfId="0" applyFont="1" applyBorder="1"/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2" fontId="7" fillId="0" borderId="0" xfId="0" applyNumberFormat="1" applyFont="1" applyBorder="1"/>
    <xf numFmtId="0" fontId="6" fillId="0" borderId="13" xfId="0" applyFont="1" applyBorder="1" applyAlignment="1">
      <alignment vertical="center"/>
    </xf>
    <xf numFmtId="0" fontId="1" fillId="0" borderId="0" xfId="0" applyFont="1" applyAlignment="1"/>
    <xf numFmtId="10" fontId="0" fillId="0" borderId="13" xfId="0" applyNumberFormat="1" applyFont="1" applyBorder="1" applyAlignment="1"/>
    <xf numFmtId="0" fontId="4" fillId="0" borderId="13" xfId="0" applyFont="1" applyBorder="1" applyAlignment="1">
      <alignment horizontal="center"/>
    </xf>
    <xf numFmtId="0" fontId="9" fillId="0" borderId="0" xfId="0" applyFont="1" applyAlignment="1"/>
    <xf numFmtId="0" fontId="10" fillId="0" borderId="1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2" fontId="9" fillId="0" borderId="5" xfId="0" applyNumberFormat="1" applyFont="1" applyBorder="1"/>
    <xf numFmtId="2" fontId="9" fillId="0" borderId="7" xfId="0" applyNumberFormat="1" applyFont="1" applyBorder="1"/>
    <xf numFmtId="2" fontId="9" fillId="0" borderId="6" xfId="0" applyNumberFormat="1" applyFont="1" applyBorder="1"/>
    <xf numFmtId="2" fontId="9" fillId="0" borderId="8" xfId="0" applyNumberFormat="1" applyFont="1" applyBorder="1"/>
    <xf numFmtId="2" fontId="9" fillId="0" borderId="0" xfId="0" applyNumberFormat="1" applyFont="1" applyBorder="1"/>
    <xf numFmtId="2" fontId="9" fillId="0" borderId="9" xfId="0" applyNumberFormat="1" applyFont="1" applyBorder="1"/>
    <xf numFmtId="2" fontId="9" fillId="0" borderId="10" xfId="0" applyNumberFormat="1" applyFont="1" applyBorder="1"/>
    <xf numFmtId="2" fontId="9" fillId="0" borderId="11" xfId="0" applyNumberFormat="1" applyFont="1" applyBorder="1"/>
    <xf numFmtId="2" fontId="9" fillId="0" borderId="12" xfId="0" applyNumberFormat="1" applyFont="1" applyBorder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3" xfId="0" applyFont="1" applyBorder="1" applyAlignment="1"/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9" fillId="0" borderId="3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8" fillId="0" borderId="0" xfId="0" applyFont="1" applyAlignment="1"/>
    <xf numFmtId="0" fontId="8" fillId="0" borderId="0" xfId="0" applyFont="1" applyAlignment="1">
      <alignment wrapText="1"/>
    </xf>
    <xf numFmtId="0" fontId="11" fillId="0" borderId="7" xfId="0" applyFont="1" applyBorder="1" applyAlignment="1">
      <alignment horizontal="center" wrapText="1"/>
    </xf>
    <xf numFmtId="0" fontId="11" fillId="0" borderId="0" xfId="0" applyFont="1" applyBorder="1" applyAlignment="1">
      <alignment horizontal="center" wrapText="1"/>
    </xf>
    <xf numFmtId="0" fontId="11" fillId="0" borderId="0" xfId="0" applyFont="1" applyBorder="1" applyAlignment="1">
      <alignment horizontal="center"/>
    </xf>
    <xf numFmtId="0" fontId="11" fillId="0" borderId="0" xfId="0" applyFont="1" applyBorder="1" applyAlignment="1">
      <alignment wrapText="1"/>
    </xf>
    <xf numFmtId="0" fontId="12" fillId="0" borderId="0" xfId="0" applyFont="1" applyBorder="1" applyAlignment="1"/>
    <xf numFmtId="0" fontId="11" fillId="0" borderId="11" xfId="0" applyFont="1" applyBorder="1" applyAlignment="1">
      <alignment wrapText="1"/>
    </xf>
    <xf numFmtId="0" fontId="12" fillId="0" borderId="11" xfId="0" applyFont="1" applyBorder="1" applyAlignment="1"/>
    <xf numFmtId="0" fontId="11" fillId="0" borderId="11" xfId="0" applyFont="1" applyBorder="1" applyAlignment="1">
      <alignment horizontal="center" wrapText="1"/>
    </xf>
    <xf numFmtId="0" fontId="11" fillId="0" borderId="11" xfId="0" applyFont="1" applyBorder="1" applyAlignment="1">
      <alignment horizontal="center"/>
    </xf>
    <xf numFmtId="0" fontId="12" fillId="0" borderId="2" xfId="0" applyFont="1" applyBorder="1" applyAlignment="1">
      <alignment wrapText="1"/>
    </xf>
    <xf numFmtId="0" fontId="12" fillId="0" borderId="2" xfId="0" applyFont="1" applyBorder="1" applyAlignment="1"/>
    <xf numFmtId="164" fontId="12" fillId="0" borderId="0" xfId="0" applyNumberFormat="1" applyFont="1" applyBorder="1" applyAlignment="1"/>
    <xf numFmtId="164" fontId="12" fillId="0" borderId="11" xfId="0" applyNumberFormat="1" applyFont="1" applyBorder="1" applyAlignment="1"/>
    <xf numFmtId="2" fontId="12" fillId="0" borderId="0" xfId="0" applyNumberFormat="1" applyFont="1" applyBorder="1" applyAlignment="1"/>
    <xf numFmtId="2" fontId="12" fillId="0" borderId="11" xfId="0" applyNumberFormat="1" applyFont="1" applyBorder="1" applyAlignment="1"/>
    <xf numFmtId="0" fontId="12" fillId="0" borderId="2" xfId="0" applyFont="1" applyBorder="1" applyAlignment="1">
      <alignment horizontal="center"/>
    </xf>
    <xf numFmtId="0" fontId="12" fillId="0" borderId="11" xfId="0" applyFont="1" applyBorder="1" applyAlignment="1">
      <alignment horizontal="right"/>
    </xf>
    <xf numFmtId="0" fontId="12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right"/>
    </xf>
    <xf numFmtId="164" fontId="12" fillId="0" borderId="2" xfId="0" applyNumberFormat="1" applyFont="1" applyBorder="1" applyAlignment="1">
      <alignment wrapText="1"/>
    </xf>
    <xf numFmtId="0" fontId="12" fillId="0" borderId="0" xfId="0" applyFont="1" applyBorder="1" applyAlignment="1">
      <alignment horizontal="right"/>
    </xf>
    <xf numFmtId="0" fontId="12" fillId="0" borderId="7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164" fontId="12" fillId="0" borderId="7" xfId="0" applyNumberFormat="1" applyFont="1" applyBorder="1" applyAlignment="1"/>
    <xf numFmtId="164" fontId="12" fillId="0" borderId="7" xfId="0" applyNumberFormat="1" applyFont="1" applyBorder="1" applyAlignment="1">
      <alignment horizontal="right"/>
    </xf>
    <xf numFmtId="0" fontId="11" fillId="0" borderId="7" xfId="0" applyFont="1" applyBorder="1" applyAlignment="1">
      <alignment wrapText="1"/>
    </xf>
    <xf numFmtId="0" fontId="11" fillId="0" borderId="11" xfId="0" applyFont="1" applyBorder="1" applyAlignment="1"/>
    <xf numFmtId="0" fontId="11" fillId="0" borderId="7" xfId="0" applyFont="1" applyBorder="1" applyAlignment="1"/>
    <xf numFmtId="0" fontId="11" fillId="0" borderId="0" xfId="0" applyFont="1" applyBorder="1" applyAlignment="1"/>
    <xf numFmtId="164" fontId="12" fillId="0" borderId="0" xfId="0" applyNumberFormat="1" applyFont="1" applyBorder="1" applyAlignment="1">
      <alignment horizontal="right"/>
    </xf>
    <xf numFmtId="164" fontId="12" fillId="0" borderId="1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BE1B-4207-4FAE-8315-5E983CE2FBB8}">
  <dimension ref="B2:G9"/>
  <sheetViews>
    <sheetView workbookViewId="0">
      <selection activeCell="G10" sqref="G10"/>
    </sheetView>
  </sheetViews>
  <sheetFormatPr defaultRowHeight="15"/>
  <sheetData>
    <row r="2" spans="2:7">
      <c r="B2" s="53" t="s">
        <v>0</v>
      </c>
      <c r="C2" s="54"/>
      <c r="D2" s="54"/>
      <c r="E2" s="54"/>
      <c r="F2" s="54"/>
      <c r="G2" s="55"/>
    </row>
    <row r="3" spans="2:7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</row>
    <row r="4" spans="2:7">
      <c r="B4" s="39">
        <f>100/116</f>
        <v>0.86206896551724133</v>
      </c>
      <c r="C4" s="39">
        <f>100/116</f>
        <v>0.86206896551724133</v>
      </c>
      <c r="D4" s="39">
        <f>100/350</f>
        <v>0.2857142857142857</v>
      </c>
      <c r="E4" s="39">
        <f>100/183</f>
        <v>0.54644808743169404</v>
      </c>
      <c r="F4" s="39">
        <f>100/169</f>
        <v>0.59171597633136097</v>
      </c>
      <c r="G4" s="39">
        <f>100/118</f>
        <v>0.84745762711864403</v>
      </c>
    </row>
    <row r="7" spans="2:7">
      <c r="B7" s="53" t="s">
        <v>7</v>
      </c>
      <c r="C7" s="54"/>
      <c r="D7" s="54"/>
      <c r="E7" s="54"/>
      <c r="F7" s="54"/>
      <c r="G7" s="55"/>
    </row>
    <row r="8" spans="2:7"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</row>
    <row r="9" spans="2:7">
      <c r="B9" s="39">
        <f>100/203</f>
        <v>0.49261083743842365</v>
      </c>
      <c r="C9" s="39">
        <f>100/472</f>
        <v>0.21186440677966101</v>
      </c>
      <c r="D9" s="39">
        <f>100/129</f>
        <v>0.77519379844961245</v>
      </c>
      <c r="E9" s="39">
        <f>100/1570</f>
        <v>6.3694267515923567E-2</v>
      </c>
      <c r="F9" s="39">
        <f>100/132</f>
        <v>0.75757575757575757</v>
      </c>
      <c r="G9" s="39">
        <f>100/114</f>
        <v>0.8771929824561403</v>
      </c>
    </row>
  </sheetData>
  <mergeCells count="2">
    <mergeCell ref="B2:G2"/>
    <mergeCell ref="B7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J143"/>
  <sheetViews>
    <sheetView topLeftCell="A136" workbookViewId="0">
      <selection activeCell="A144" sqref="A144:XFD160"/>
    </sheetView>
  </sheetViews>
  <sheetFormatPr defaultColWidth="12.5703125" defaultRowHeight="15" customHeight="1"/>
  <cols>
    <col min="2" max="2" width="36.5703125" bestFit="1" customWidth="1"/>
    <col min="4" max="4" width="15.85546875" bestFit="1" customWidth="1"/>
    <col min="6" max="6" width="13.85546875" bestFit="1" customWidth="1"/>
    <col min="7" max="7" width="15.140625" bestFit="1" customWidth="1"/>
  </cols>
  <sheetData>
    <row r="1" spans="2:7">
      <c r="B1" s="53" t="s">
        <v>8</v>
      </c>
      <c r="C1" s="54"/>
      <c r="D1" s="54"/>
      <c r="E1" s="54"/>
      <c r="F1" s="54"/>
      <c r="G1" s="55"/>
    </row>
    <row r="2" spans="2:7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2:7">
      <c r="B3" s="4">
        <v>11.4</v>
      </c>
      <c r="C3" s="5">
        <v>12.47</v>
      </c>
      <c r="D3" s="5">
        <v>10.029999999999999</v>
      </c>
      <c r="E3" s="5">
        <v>14.97</v>
      </c>
      <c r="F3" s="5">
        <v>10.4</v>
      </c>
      <c r="G3" s="6">
        <v>9.67</v>
      </c>
    </row>
    <row r="4" spans="2:7">
      <c r="B4" s="7">
        <v>11.4</v>
      </c>
      <c r="C4" s="8">
        <v>10.8</v>
      </c>
      <c r="D4" s="8">
        <v>10.27</v>
      </c>
      <c r="E4" s="8">
        <v>17.329999999999998</v>
      </c>
      <c r="F4" s="8">
        <v>10.6</v>
      </c>
      <c r="G4" s="9">
        <v>9.77</v>
      </c>
    </row>
    <row r="5" spans="2:7">
      <c r="B5" s="7">
        <v>11.83</v>
      </c>
      <c r="C5" s="8">
        <v>10.27</v>
      </c>
      <c r="D5" s="8">
        <v>10.43</v>
      </c>
      <c r="E5" s="8">
        <v>18.57</v>
      </c>
      <c r="F5" s="8">
        <v>9.6300000000000008</v>
      </c>
      <c r="G5" s="9">
        <v>10.130000000000001</v>
      </c>
    </row>
    <row r="6" spans="2:7">
      <c r="B6" s="7">
        <v>11.43</v>
      </c>
      <c r="C6" s="8">
        <v>12.23</v>
      </c>
      <c r="D6" s="8">
        <v>9.33</v>
      </c>
      <c r="E6" s="8">
        <v>19.93</v>
      </c>
      <c r="F6" s="8">
        <v>9.8699999999999992</v>
      </c>
      <c r="G6" s="9">
        <v>9.8000000000000007</v>
      </c>
    </row>
    <row r="7" spans="2:7">
      <c r="B7" s="7">
        <v>11.57</v>
      </c>
      <c r="C7" s="8">
        <v>10.43</v>
      </c>
      <c r="D7" s="8">
        <v>9.3699999999999992</v>
      </c>
      <c r="E7" s="8">
        <v>13.8</v>
      </c>
      <c r="F7" s="8">
        <v>10.27</v>
      </c>
      <c r="G7" s="9">
        <v>10.23</v>
      </c>
    </row>
    <row r="8" spans="2:7">
      <c r="B8" s="7">
        <v>10.5</v>
      </c>
      <c r="C8" s="8">
        <v>11.47</v>
      </c>
      <c r="D8" s="8">
        <v>9.93</v>
      </c>
      <c r="E8" s="8">
        <v>15.9</v>
      </c>
      <c r="F8" s="8">
        <v>11.03</v>
      </c>
      <c r="G8" s="9">
        <v>10.17</v>
      </c>
    </row>
    <row r="9" spans="2:7">
      <c r="B9" s="7">
        <v>11.17</v>
      </c>
      <c r="C9" s="8">
        <v>10.57</v>
      </c>
      <c r="D9" s="8">
        <v>9.23</v>
      </c>
      <c r="E9" s="8">
        <v>17.07</v>
      </c>
      <c r="F9" s="8">
        <v>10.8</v>
      </c>
      <c r="G9" s="9">
        <v>9.1999999999999993</v>
      </c>
    </row>
    <row r="10" spans="2:7">
      <c r="B10" s="7">
        <v>11.77</v>
      </c>
      <c r="C10" s="8">
        <v>9.77</v>
      </c>
      <c r="D10" s="8">
        <v>10.3</v>
      </c>
      <c r="E10" s="8">
        <v>24.6</v>
      </c>
      <c r="F10" s="8">
        <v>9.93</v>
      </c>
      <c r="G10" s="9">
        <v>9.8000000000000007</v>
      </c>
    </row>
    <row r="11" spans="2:7">
      <c r="B11" s="7">
        <v>11.4</v>
      </c>
      <c r="C11" s="8">
        <v>11.13</v>
      </c>
      <c r="D11" s="8">
        <v>9.77</v>
      </c>
      <c r="E11" s="8">
        <v>18.43</v>
      </c>
      <c r="F11" s="8">
        <v>9.8000000000000007</v>
      </c>
      <c r="G11" s="9">
        <v>8.77</v>
      </c>
    </row>
    <row r="12" spans="2:7">
      <c r="B12" s="7">
        <v>11</v>
      </c>
      <c r="C12" s="8">
        <v>9.93</v>
      </c>
      <c r="D12" s="8">
        <v>9.23</v>
      </c>
      <c r="E12" s="8">
        <v>19.600000000000001</v>
      </c>
      <c r="F12" s="8">
        <v>10.17</v>
      </c>
      <c r="G12" s="9">
        <v>9.17</v>
      </c>
    </row>
    <row r="13" spans="2:7">
      <c r="B13" s="7">
        <v>11.33</v>
      </c>
      <c r="C13" s="8">
        <v>10.53</v>
      </c>
      <c r="D13" s="8">
        <v>9.6999999999999993</v>
      </c>
      <c r="E13" s="8">
        <v>13.87</v>
      </c>
      <c r="F13" s="8">
        <v>9.83</v>
      </c>
      <c r="G13" s="9">
        <v>10.029999999999999</v>
      </c>
    </row>
    <row r="14" spans="2:7">
      <c r="B14" s="7">
        <v>10.73</v>
      </c>
      <c r="C14" s="8">
        <v>10.93</v>
      </c>
      <c r="D14" s="8">
        <v>9.6</v>
      </c>
      <c r="E14" s="8">
        <v>15.47</v>
      </c>
      <c r="F14" s="8">
        <v>11.73</v>
      </c>
      <c r="G14" s="9">
        <v>9.9</v>
      </c>
    </row>
    <row r="15" spans="2:7">
      <c r="B15" s="7">
        <v>10.23</v>
      </c>
      <c r="C15" s="8">
        <v>10.27</v>
      </c>
      <c r="D15" s="8">
        <v>9.5299999999999994</v>
      </c>
      <c r="E15" s="8">
        <v>19.899999999999999</v>
      </c>
      <c r="F15" s="8">
        <v>10.37</v>
      </c>
      <c r="G15" s="9">
        <v>9.33</v>
      </c>
    </row>
    <row r="16" spans="2:7">
      <c r="B16" s="7">
        <v>11.1</v>
      </c>
      <c r="C16" s="8">
        <v>9.6300000000000008</v>
      </c>
      <c r="D16" s="8">
        <v>10.07</v>
      </c>
      <c r="E16" s="8">
        <v>15.53</v>
      </c>
      <c r="F16" s="8">
        <v>10.37</v>
      </c>
      <c r="G16" s="9">
        <v>9.43</v>
      </c>
    </row>
    <row r="17" spans="2:7">
      <c r="B17" s="7">
        <v>11.23</v>
      </c>
      <c r="C17" s="8">
        <v>10.6</v>
      </c>
      <c r="D17" s="8">
        <v>10</v>
      </c>
      <c r="E17" s="8">
        <v>13.8</v>
      </c>
      <c r="F17" s="8">
        <v>10.93</v>
      </c>
      <c r="G17" s="9">
        <v>9.5</v>
      </c>
    </row>
    <row r="18" spans="2:7">
      <c r="B18" s="7">
        <v>11.17</v>
      </c>
      <c r="C18" s="8">
        <v>11.77</v>
      </c>
      <c r="D18" s="8">
        <v>8.77</v>
      </c>
      <c r="E18" s="8">
        <v>14.77</v>
      </c>
      <c r="F18" s="8">
        <v>10.199999999999999</v>
      </c>
      <c r="G18" s="9">
        <v>9.3000000000000007</v>
      </c>
    </row>
    <row r="19" spans="2:7">
      <c r="B19" s="7">
        <v>11.97</v>
      </c>
      <c r="C19" s="8">
        <v>11.1</v>
      </c>
      <c r="D19" s="8">
        <v>9.33</v>
      </c>
      <c r="E19" s="8">
        <v>20.77</v>
      </c>
      <c r="F19" s="8">
        <v>10.57</v>
      </c>
      <c r="G19" s="9">
        <v>9.83</v>
      </c>
    </row>
    <row r="20" spans="2:7">
      <c r="B20" s="7">
        <v>11.27</v>
      </c>
      <c r="C20" s="8">
        <v>11.43</v>
      </c>
      <c r="D20" s="8">
        <v>10.43</v>
      </c>
      <c r="E20" s="8">
        <v>15.1</v>
      </c>
      <c r="F20" s="8">
        <v>10.17</v>
      </c>
      <c r="G20" s="9">
        <v>9.67</v>
      </c>
    </row>
    <row r="21" spans="2:7">
      <c r="B21" s="7">
        <v>10.83</v>
      </c>
      <c r="C21" s="8">
        <v>10.130000000000001</v>
      </c>
      <c r="D21" s="8">
        <v>10.130000000000001</v>
      </c>
      <c r="E21" s="8">
        <v>12.53</v>
      </c>
      <c r="F21" s="8">
        <v>10.3</v>
      </c>
      <c r="G21" s="9">
        <v>10.130000000000001</v>
      </c>
    </row>
    <row r="22" spans="2:7">
      <c r="B22" s="7">
        <v>11.77</v>
      </c>
      <c r="C22" s="8">
        <v>11.6</v>
      </c>
      <c r="D22" s="8">
        <v>9.73</v>
      </c>
      <c r="E22" s="8">
        <v>18.13</v>
      </c>
      <c r="F22" s="8">
        <v>9.8000000000000007</v>
      </c>
      <c r="G22" s="9">
        <v>9.8699999999999992</v>
      </c>
    </row>
    <row r="23" spans="2:7">
      <c r="B23" s="7">
        <v>11.97</v>
      </c>
      <c r="C23" s="8">
        <v>11.4</v>
      </c>
      <c r="D23" s="8">
        <v>9.6300000000000008</v>
      </c>
      <c r="E23" s="8">
        <v>20.83</v>
      </c>
      <c r="F23" s="8">
        <v>10.1</v>
      </c>
      <c r="G23" s="9">
        <v>10.57</v>
      </c>
    </row>
    <row r="24" spans="2:7">
      <c r="B24" s="7">
        <v>10.73</v>
      </c>
      <c r="C24" s="8">
        <v>11.33</v>
      </c>
      <c r="D24" s="8">
        <v>9.07</v>
      </c>
      <c r="E24" s="8">
        <v>14.7</v>
      </c>
      <c r="F24" s="8">
        <v>9.9</v>
      </c>
      <c r="G24" s="9">
        <v>9.43</v>
      </c>
    </row>
    <row r="25" spans="2:7">
      <c r="B25" s="7">
        <v>10.8</v>
      </c>
      <c r="C25" s="8">
        <v>10.83</v>
      </c>
      <c r="D25" s="8">
        <v>9.6</v>
      </c>
      <c r="E25" s="8">
        <v>15.47</v>
      </c>
      <c r="F25" s="8">
        <v>9.6300000000000008</v>
      </c>
      <c r="G25" s="9">
        <v>10</v>
      </c>
    </row>
    <row r="26" spans="2:7">
      <c r="B26" s="7">
        <v>11.77</v>
      </c>
      <c r="C26" s="8">
        <v>10.77</v>
      </c>
      <c r="D26" s="8">
        <v>9.33</v>
      </c>
      <c r="E26" s="8">
        <v>21.7</v>
      </c>
      <c r="F26" s="8">
        <v>10.17</v>
      </c>
      <c r="G26" s="9">
        <v>9.4</v>
      </c>
    </row>
    <row r="27" spans="2:7">
      <c r="B27" s="7">
        <v>11.27</v>
      </c>
      <c r="C27" s="8">
        <v>10.130000000000001</v>
      </c>
      <c r="D27" s="8">
        <v>9.67</v>
      </c>
      <c r="E27" s="8">
        <v>18.43</v>
      </c>
      <c r="F27" s="8">
        <v>10.07</v>
      </c>
      <c r="G27" s="9">
        <v>9.4</v>
      </c>
    </row>
    <row r="28" spans="2:7">
      <c r="B28" s="7">
        <v>11.6</v>
      </c>
      <c r="C28" s="8">
        <v>12</v>
      </c>
      <c r="D28" s="8">
        <v>9.6</v>
      </c>
      <c r="E28" s="8">
        <v>19.100000000000001</v>
      </c>
      <c r="F28" s="8">
        <v>10</v>
      </c>
      <c r="G28" s="9">
        <v>9.77</v>
      </c>
    </row>
    <row r="29" spans="2:7">
      <c r="B29" s="7">
        <v>11.73</v>
      </c>
      <c r="C29" s="8">
        <v>11.63</v>
      </c>
      <c r="D29" s="8">
        <v>10.77</v>
      </c>
      <c r="E29" s="8">
        <v>13.37</v>
      </c>
      <c r="F29" s="8">
        <v>9.77</v>
      </c>
      <c r="G29" s="9">
        <v>9.1300000000000008</v>
      </c>
    </row>
    <row r="30" spans="2:7">
      <c r="B30" s="7">
        <v>10.67</v>
      </c>
      <c r="C30" s="8">
        <v>10.77</v>
      </c>
      <c r="D30" s="8">
        <v>9.23</v>
      </c>
      <c r="E30" s="8">
        <v>22.57</v>
      </c>
      <c r="F30" s="8">
        <v>10.73</v>
      </c>
      <c r="G30" s="9">
        <v>10</v>
      </c>
    </row>
    <row r="31" spans="2:7">
      <c r="B31" s="7">
        <v>11.63</v>
      </c>
      <c r="C31" s="8">
        <v>11.07</v>
      </c>
      <c r="D31" s="8">
        <v>9.83</v>
      </c>
      <c r="E31" s="8">
        <v>16.8</v>
      </c>
      <c r="F31" s="8">
        <v>10.47</v>
      </c>
      <c r="G31" s="9">
        <v>9.1999999999999993</v>
      </c>
    </row>
    <row r="32" spans="2:7">
      <c r="B32" s="7">
        <v>12.07</v>
      </c>
      <c r="C32" s="8">
        <v>9.9</v>
      </c>
      <c r="D32" s="8">
        <v>9.5299999999999994</v>
      </c>
      <c r="E32" s="8">
        <v>20.8</v>
      </c>
      <c r="F32" s="8">
        <v>10.07</v>
      </c>
      <c r="G32" s="9">
        <v>10</v>
      </c>
    </row>
    <row r="33" spans="2:7">
      <c r="B33" s="7">
        <v>11.37</v>
      </c>
      <c r="C33" s="8">
        <v>11.2</v>
      </c>
      <c r="D33" s="8">
        <v>9.9</v>
      </c>
      <c r="E33" s="8">
        <v>14.57</v>
      </c>
      <c r="F33" s="8">
        <v>9.67</v>
      </c>
      <c r="G33" s="9">
        <v>10.199999999999999</v>
      </c>
    </row>
    <row r="34" spans="2:7">
      <c r="B34" s="7">
        <v>10.77</v>
      </c>
      <c r="C34" s="8">
        <v>10.27</v>
      </c>
      <c r="D34" s="8">
        <v>10.029999999999999</v>
      </c>
      <c r="E34" s="8">
        <v>13.5</v>
      </c>
      <c r="F34" s="8">
        <v>10.17</v>
      </c>
      <c r="G34" s="9">
        <v>9.83</v>
      </c>
    </row>
    <row r="35" spans="2:7">
      <c r="B35" s="7">
        <v>12.17</v>
      </c>
      <c r="C35" s="8">
        <v>12.2</v>
      </c>
      <c r="D35" s="8">
        <v>9.8699999999999992</v>
      </c>
      <c r="E35" s="8">
        <v>16.27</v>
      </c>
      <c r="F35" s="8">
        <v>10.3</v>
      </c>
      <c r="G35" s="9">
        <v>9.6300000000000008</v>
      </c>
    </row>
    <row r="36" spans="2:7">
      <c r="B36" s="7">
        <v>12.3</v>
      </c>
      <c r="C36" s="8">
        <v>13.13</v>
      </c>
      <c r="D36" s="8">
        <v>9.23</v>
      </c>
      <c r="E36" s="8">
        <v>16.399999999999999</v>
      </c>
      <c r="F36" s="8">
        <v>10.6</v>
      </c>
      <c r="G36" s="9">
        <v>9.6300000000000008</v>
      </c>
    </row>
    <row r="37" spans="2:7">
      <c r="B37" s="7">
        <v>11.17</v>
      </c>
      <c r="C37" s="8">
        <v>14.1</v>
      </c>
      <c r="D37" s="8">
        <v>9.8699999999999992</v>
      </c>
      <c r="E37" s="8">
        <v>17.53</v>
      </c>
      <c r="F37" s="8">
        <v>9.9</v>
      </c>
      <c r="G37" s="9">
        <v>8.93</v>
      </c>
    </row>
    <row r="38" spans="2:7">
      <c r="B38" s="7">
        <v>11.9</v>
      </c>
      <c r="C38" s="8">
        <v>11.93</v>
      </c>
      <c r="D38" s="8">
        <v>9.4</v>
      </c>
      <c r="E38" s="8">
        <v>14.73</v>
      </c>
      <c r="F38" s="8">
        <v>9.83</v>
      </c>
      <c r="G38" s="9">
        <v>10.93</v>
      </c>
    </row>
    <row r="39" spans="2:7">
      <c r="B39" s="7">
        <v>11.43</v>
      </c>
      <c r="C39" s="8">
        <v>10.33</v>
      </c>
      <c r="D39" s="8">
        <v>9.4</v>
      </c>
      <c r="E39" s="8">
        <v>15.27</v>
      </c>
      <c r="F39" s="8">
        <v>9.9700000000000006</v>
      </c>
      <c r="G39" s="9">
        <v>9.77</v>
      </c>
    </row>
    <row r="40" spans="2:7">
      <c r="B40" s="7">
        <v>11.43</v>
      </c>
      <c r="C40" s="8">
        <v>10.43</v>
      </c>
      <c r="D40" s="8">
        <v>9.6</v>
      </c>
      <c r="E40" s="8">
        <v>16.47</v>
      </c>
      <c r="F40" s="8">
        <v>10.199999999999999</v>
      </c>
      <c r="G40" s="9">
        <v>10.23</v>
      </c>
    </row>
    <row r="41" spans="2:7">
      <c r="B41" s="7">
        <v>11.13</v>
      </c>
      <c r="C41" s="8">
        <v>12.77</v>
      </c>
      <c r="D41" s="8">
        <v>9.6</v>
      </c>
      <c r="E41" s="8">
        <v>17.03</v>
      </c>
      <c r="F41" s="8">
        <v>10.6</v>
      </c>
      <c r="G41" s="9">
        <v>9.27</v>
      </c>
    </row>
    <row r="42" spans="2:7">
      <c r="B42" s="7">
        <v>11.47</v>
      </c>
      <c r="C42" s="8">
        <v>10.73</v>
      </c>
      <c r="D42" s="8">
        <v>10.17</v>
      </c>
      <c r="E42" s="8">
        <v>16.23</v>
      </c>
      <c r="F42" s="8">
        <v>10.63</v>
      </c>
      <c r="G42" s="9">
        <v>9.1999999999999993</v>
      </c>
    </row>
    <row r="43" spans="2:7">
      <c r="B43" s="7">
        <v>11.03</v>
      </c>
      <c r="C43" s="8">
        <v>12.13</v>
      </c>
      <c r="D43" s="8">
        <v>10.07</v>
      </c>
      <c r="E43" s="8">
        <v>18.399999999999999</v>
      </c>
      <c r="F43" s="8">
        <v>10.33</v>
      </c>
      <c r="G43" s="9">
        <v>9.33</v>
      </c>
    </row>
    <row r="44" spans="2:7">
      <c r="B44" s="7">
        <v>10.97</v>
      </c>
      <c r="C44" s="8">
        <v>12.37</v>
      </c>
      <c r="D44" s="8">
        <v>8.9700000000000006</v>
      </c>
      <c r="E44" s="8">
        <v>16.600000000000001</v>
      </c>
      <c r="F44" s="8">
        <v>10.4</v>
      </c>
      <c r="G44" s="9">
        <v>10.029999999999999</v>
      </c>
    </row>
    <row r="45" spans="2:7">
      <c r="B45" s="7">
        <v>11.27</v>
      </c>
      <c r="C45" s="8">
        <v>11.6</v>
      </c>
      <c r="D45" s="8">
        <v>9.83</v>
      </c>
      <c r="E45" s="8">
        <v>13.83</v>
      </c>
      <c r="F45" s="8">
        <v>10.97</v>
      </c>
      <c r="G45" s="9">
        <v>9.6999999999999993</v>
      </c>
    </row>
    <row r="46" spans="2:7">
      <c r="B46" s="7">
        <v>11.37</v>
      </c>
      <c r="C46" s="8">
        <v>10.23</v>
      </c>
      <c r="D46" s="8">
        <v>10.9</v>
      </c>
      <c r="E46" s="8">
        <v>17.53</v>
      </c>
      <c r="F46" s="8">
        <v>9.5</v>
      </c>
      <c r="G46" s="9">
        <v>9.1999999999999993</v>
      </c>
    </row>
    <row r="47" spans="2:7">
      <c r="B47" s="7">
        <v>11.3</v>
      </c>
      <c r="C47" s="8">
        <v>11.8</v>
      </c>
      <c r="D47" s="8">
        <v>9.6</v>
      </c>
      <c r="E47" s="8">
        <v>15.7</v>
      </c>
      <c r="F47" s="8">
        <v>9.93</v>
      </c>
      <c r="G47" s="9">
        <v>9.5299999999999994</v>
      </c>
    </row>
    <row r="48" spans="2:7">
      <c r="B48" s="7">
        <v>11.6</v>
      </c>
      <c r="C48" s="8">
        <v>12.77</v>
      </c>
      <c r="D48" s="8">
        <v>9.8699999999999992</v>
      </c>
      <c r="E48" s="8">
        <v>16.73</v>
      </c>
      <c r="F48" s="8">
        <v>9.9700000000000006</v>
      </c>
      <c r="G48" s="9">
        <v>10.07</v>
      </c>
    </row>
    <row r="49" spans="2:7">
      <c r="B49" s="7">
        <v>11.3</v>
      </c>
      <c r="C49" s="8">
        <v>11.17</v>
      </c>
      <c r="D49" s="8">
        <v>11.37</v>
      </c>
      <c r="E49" s="8">
        <v>18.07</v>
      </c>
      <c r="F49" s="8">
        <v>9.4700000000000006</v>
      </c>
      <c r="G49" s="9">
        <v>9.67</v>
      </c>
    </row>
    <row r="50" spans="2:7">
      <c r="B50" s="7">
        <v>11.27</v>
      </c>
      <c r="C50" s="8">
        <v>11.13</v>
      </c>
      <c r="D50" s="8">
        <v>9.27</v>
      </c>
      <c r="E50" s="8">
        <v>17</v>
      </c>
      <c r="F50" s="8">
        <v>9.43</v>
      </c>
      <c r="G50" s="9">
        <v>10.43</v>
      </c>
    </row>
    <row r="51" spans="2:7">
      <c r="B51" s="7">
        <v>11.23</v>
      </c>
      <c r="C51" s="8">
        <v>11.3</v>
      </c>
      <c r="D51" s="8">
        <v>9.6</v>
      </c>
      <c r="E51" s="8">
        <v>19.07</v>
      </c>
      <c r="F51" s="8">
        <v>10.3</v>
      </c>
      <c r="G51" s="9">
        <v>9.6999999999999993</v>
      </c>
    </row>
    <row r="52" spans="2:7">
      <c r="B52" s="7">
        <v>10.47</v>
      </c>
      <c r="C52" s="8">
        <v>14.4</v>
      </c>
      <c r="D52" s="8">
        <v>10.33</v>
      </c>
      <c r="E52" s="8">
        <v>12.7</v>
      </c>
      <c r="F52" s="8">
        <v>10.97</v>
      </c>
      <c r="G52" s="9">
        <v>10.53</v>
      </c>
    </row>
    <row r="53" spans="2:7">
      <c r="B53" s="7">
        <v>11.2</v>
      </c>
      <c r="C53" s="8">
        <v>10.67</v>
      </c>
      <c r="D53" s="8">
        <v>10.47</v>
      </c>
      <c r="E53" s="8">
        <v>17</v>
      </c>
      <c r="F53" s="8">
        <v>10.53</v>
      </c>
      <c r="G53" s="9">
        <v>9.9</v>
      </c>
    </row>
    <row r="54" spans="2:7">
      <c r="B54" s="7">
        <v>10.8</v>
      </c>
      <c r="C54" s="8">
        <v>9.8699999999999992</v>
      </c>
      <c r="D54" s="8">
        <v>9.8699999999999992</v>
      </c>
      <c r="E54" s="8">
        <v>23.03</v>
      </c>
      <c r="F54" s="8">
        <v>10.029999999999999</v>
      </c>
      <c r="G54" s="9">
        <v>9.8699999999999992</v>
      </c>
    </row>
    <row r="55" spans="2:7">
      <c r="B55" s="7">
        <v>10.83</v>
      </c>
      <c r="C55" s="8">
        <v>10.67</v>
      </c>
      <c r="D55" s="8">
        <v>9.83</v>
      </c>
      <c r="E55" s="8">
        <v>15.8</v>
      </c>
      <c r="F55" s="8">
        <v>10.1</v>
      </c>
      <c r="G55" s="9">
        <v>9.4700000000000006</v>
      </c>
    </row>
    <row r="56" spans="2:7">
      <c r="B56" s="7">
        <v>11.33</v>
      </c>
      <c r="C56" s="8">
        <v>12.97</v>
      </c>
      <c r="D56" s="8">
        <v>10.130000000000001</v>
      </c>
      <c r="E56" s="8">
        <v>17.8</v>
      </c>
      <c r="F56" s="8">
        <v>10.8</v>
      </c>
      <c r="G56" s="9">
        <v>9.57</v>
      </c>
    </row>
    <row r="57" spans="2:7">
      <c r="B57" s="7">
        <v>11.67</v>
      </c>
      <c r="C57" s="8">
        <v>10.9</v>
      </c>
      <c r="D57" s="8">
        <v>10.3</v>
      </c>
      <c r="E57" s="8">
        <v>16.47</v>
      </c>
      <c r="F57" s="8">
        <v>10.17</v>
      </c>
      <c r="G57" s="9">
        <v>9.27</v>
      </c>
    </row>
    <row r="58" spans="2:7">
      <c r="B58" s="7">
        <v>12.03</v>
      </c>
      <c r="C58" s="8">
        <v>12.43</v>
      </c>
      <c r="D58" s="8">
        <v>10.6</v>
      </c>
      <c r="E58" s="8">
        <v>16.27</v>
      </c>
      <c r="F58" s="8">
        <v>10.4</v>
      </c>
      <c r="G58" s="9">
        <v>9.8000000000000007</v>
      </c>
    </row>
    <row r="59" spans="2:7">
      <c r="B59" s="7">
        <v>11.3</v>
      </c>
      <c r="C59" s="8">
        <v>10.27</v>
      </c>
      <c r="D59" s="8">
        <v>9.3000000000000007</v>
      </c>
      <c r="E59" s="8">
        <v>15.33</v>
      </c>
      <c r="F59" s="8">
        <v>9.83</v>
      </c>
      <c r="G59" s="9">
        <v>9.4700000000000006</v>
      </c>
    </row>
    <row r="60" spans="2:7">
      <c r="B60" s="7">
        <v>11.6</v>
      </c>
      <c r="C60" s="8">
        <v>11.9</v>
      </c>
      <c r="D60" s="8">
        <v>9.5</v>
      </c>
      <c r="E60" s="8">
        <v>18.2</v>
      </c>
      <c r="F60" s="8">
        <v>9.8699999999999992</v>
      </c>
      <c r="G60" s="9">
        <v>9.07</v>
      </c>
    </row>
    <row r="61" spans="2:7">
      <c r="B61" s="7">
        <v>11.2</v>
      </c>
      <c r="C61" s="8">
        <v>10</v>
      </c>
      <c r="D61" s="8">
        <v>10.57</v>
      </c>
      <c r="E61" s="8">
        <v>18.670000000000002</v>
      </c>
      <c r="F61" s="8">
        <v>10.83</v>
      </c>
      <c r="G61" s="9">
        <v>9.73</v>
      </c>
    </row>
    <row r="62" spans="2:7">
      <c r="B62" s="7">
        <v>12.2</v>
      </c>
      <c r="C62" s="8">
        <v>9.73</v>
      </c>
      <c r="D62" s="8">
        <v>9.4700000000000006</v>
      </c>
      <c r="E62" s="8">
        <v>13.4</v>
      </c>
      <c r="F62" s="8">
        <v>10.33</v>
      </c>
      <c r="G62" s="9">
        <v>9.1300000000000008</v>
      </c>
    </row>
    <row r="63" spans="2:7">
      <c r="B63" s="7">
        <v>13.03</v>
      </c>
      <c r="C63" s="8">
        <v>11.33</v>
      </c>
      <c r="D63" s="8">
        <v>9.6300000000000008</v>
      </c>
      <c r="E63" s="8">
        <v>22.7</v>
      </c>
      <c r="F63" s="8">
        <v>9.8000000000000007</v>
      </c>
      <c r="G63" s="9">
        <v>10.1</v>
      </c>
    </row>
    <row r="64" spans="2:7">
      <c r="B64" s="7">
        <v>11.17</v>
      </c>
      <c r="C64" s="8">
        <v>11.33</v>
      </c>
      <c r="D64" s="8">
        <v>9.4</v>
      </c>
      <c r="E64" s="8">
        <v>14.27</v>
      </c>
      <c r="F64" s="8">
        <v>10.3</v>
      </c>
      <c r="G64" s="9">
        <v>9.5299999999999994</v>
      </c>
    </row>
    <row r="65" spans="2:7">
      <c r="B65" s="7">
        <v>12.3</v>
      </c>
      <c r="C65" s="8">
        <v>11.1</v>
      </c>
      <c r="D65" s="8">
        <v>9.6300000000000008</v>
      </c>
      <c r="E65" s="8">
        <v>14.6</v>
      </c>
      <c r="F65" s="8">
        <v>9.43</v>
      </c>
      <c r="G65" s="9">
        <v>9.5</v>
      </c>
    </row>
    <row r="66" spans="2:7">
      <c r="B66" s="7">
        <v>10.7</v>
      </c>
      <c r="C66" s="8">
        <v>10.27</v>
      </c>
      <c r="D66" s="8">
        <v>9.67</v>
      </c>
      <c r="E66" s="8">
        <v>17.43</v>
      </c>
      <c r="F66" s="8">
        <v>10.9</v>
      </c>
      <c r="G66" s="9">
        <v>9.77</v>
      </c>
    </row>
    <row r="67" spans="2:7">
      <c r="B67" s="7">
        <v>11.67</v>
      </c>
      <c r="C67" s="8">
        <v>12.83</v>
      </c>
      <c r="D67" s="8">
        <v>9.73</v>
      </c>
      <c r="E67" s="8">
        <v>22.23</v>
      </c>
      <c r="F67" s="8">
        <v>10.199999999999999</v>
      </c>
      <c r="G67" s="9">
        <v>9.1999999999999993</v>
      </c>
    </row>
    <row r="68" spans="2:7">
      <c r="B68" s="7">
        <v>10.87</v>
      </c>
      <c r="C68" s="8">
        <v>10.7</v>
      </c>
      <c r="D68" s="8">
        <v>9.6300000000000008</v>
      </c>
      <c r="E68" s="8">
        <v>20.83</v>
      </c>
      <c r="F68" s="8">
        <v>9.9700000000000006</v>
      </c>
      <c r="G68" s="9">
        <v>9.6</v>
      </c>
    </row>
    <row r="69" spans="2:7">
      <c r="B69" s="7">
        <v>12.17</v>
      </c>
      <c r="C69" s="8">
        <v>12.77</v>
      </c>
      <c r="D69" s="8">
        <v>9.23</v>
      </c>
      <c r="E69" s="8">
        <v>16.57</v>
      </c>
      <c r="F69" s="8">
        <v>10.3</v>
      </c>
      <c r="G69" s="9">
        <v>10.029999999999999</v>
      </c>
    </row>
    <row r="70" spans="2:7">
      <c r="B70" s="7">
        <v>11.7</v>
      </c>
      <c r="C70" s="8">
        <v>10.17</v>
      </c>
      <c r="D70" s="8">
        <v>9.27</v>
      </c>
      <c r="E70" s="8">
        <v>18.07</v>
      </c>
      <c r="F70" s="8">
        <v>10.1</v>
      </c>
      <c r="G70" s="9">
        <v>10.029999999999999</v>
      </c>
    </row>
    <row r="71" spans="2:7">
      <c r="B71" s="7">
        <v>11.57</v>
      </c>
      <c r="C71" s="8">
        <v>10.97</v>
      </c>
      <c r="D71" s="8">
        <v>10.9</v>
      </c>
      <c r="E71" s="8">
        <v>14.37</v>
      </c>
      <c r="F71" s="8">
        <v>10.83</v>
      </c>
      <c r="G71" s="9">
        <v>8.9700000000000006</v>
      </c>
    </row>
    <row r="72" spans="2:7">
      <c r="B72" s="7">
        <v>11.5</v>
      </c>
      <c r="C72" s="8">
        <v>11.23</v>
      </c>
      <c r="D72" s="8">
        <v>9.1300000000000008</v>
      </c>
      <c r="E72" s="8">
        <v>14.8</v>
      </c>
      <c r="F72" s="8">
        <v>10.93</v>
      </c>
      <c r="G72" s="9">
        <v>9.3000000000000007</v>
      </c>
    </row>
    <row r="73" spans="2:7">
      <c r="B73" s="7">
        <v>11.97</v>
      </c>
      <c r="C73" s="8">
        <v>13.93</v>
      </c>
      <c r="D73" s="8">
        <v>9.73</v>
      </c>
      <c r="E73" s="8">
        <v>14.47</v>
      </c>
      <c r="F73" s="8">
        <v>9.67</v>
      </c>
      <c r="G73" s="9">
        <v>9.1999999999999993</v>
      </c>
    </row>
    <row r="74" spans="2:7">
      <c r="B74" s="7">
        <v>11.73</v>
      </c>
      <c r="C74" s="8">
        <v>11.37</v>
      </c>
      <c r="D74" s="8">
        <v>9.9700000000000006</v>
      </c>
      <c r="E74" s="8">
        <v>15.5</v>
      </c>
      <c r="F74" s="8">
        <v>10.07</v>
      </c>
      <c r="G74" s="9">
        <v>9.9</v>
      </c>
    </row>
    <row r="75" spans="2:7">
      <c r="B75" s="7">
        <v>10.53</v>
      </c>
      <c r="C75" s="8">
        <v>11.23</v>
      </c>
      <c r="D75" s="8">
        <v>11.8</v>
      </c>
      <c r="E75" s="8">
        <v>17.670000000000002</v>
      </c>
      <c r="F75" s="8">
        <v>10.43</v>
      </c>
      <c r="G75" s="9">
        <v>10.199999999999999</v>
      </c>
    </row>
    <row r="76" spans="2:7">
      <c r="B76" s="7">
        <v>10.93</v>
      </c>
      <c r="C76" s="8">
        <v>10.5</v>
      </c>
      <c r="D76" s="8">
        <v>10.7</v>
      </c>
      <c r="E76" s="8">
        <v>21.13</v>
      </c>
      <c r="F76" s="8">
        <v>11.07</v>
      </c>
      <c r="G76" s="9">
        <v>9.5299999999999994</v>
      </c>
    </row>
    <row r="77" spans="2:7">
      <c r="B77" s="7">
        <v>11.4</v>
      </c>
      <c r="C77" s="8">
        <v>11.97</v>
      </c>
      <c r="D77" s="8">
        <v>9.4</v>
      </c>
      <c r="E77" s="8">
        <v>16.73</v>
      </c>
      <c r="F77" s="8">
        <v>9.93</v>
      </c>
      <c r="G77" s="9">
        <v>9.6999999999999993</v>
      </c>
    </row>
    <row r="78" spans="2:7">
      <c r="B78" s="7">
        <v>12.27</v>
      </c>
      <c r="C78" s="8">
        <v>11.63</v>
      </c>
      <c r="D78" s="8">
        <v>9.1999999999999993</v>
      </c>
      <c r="E78" s="8">
        <v>13.77</v>
      </c>
      <c r="F78" s="8">
        <v>9.77</v>
      </c>
      <c r="G78" s="9">
        <v>10.43</v>
      </c>
    </row>
    <row r="79" spans="2:7">
      <c r="B79" s="7">
        <v>11.63</v>
      </c>
      <c r="C79" s="8">
        <v>11.5</v>
      </c>
      <c r="D79" s="8">
        <v>9.1999999999999993</v>
      </c>
      <c r="E79" s="8">
        <v>16.13</v>
      </c>
      <c r="F79" s="8">
        <v>10.07</v>
      </c>
      <c r="G79" s="9">
        <v>10</v>
      </c>
    </row>
    <row r="80" spans="2:7">
      <c r="B80" s="7">
        <v>11.7</v>
      </c>
      <c r="C80" s="8">
        <v>10.5</v>
      </c>
      <c r="D80" s="8">
        <v>9.8699999999999992</v>
      </c>
      <c r="E80" s="8">
        <v>18.899999999999999</v>
      </c>
      <c r="F80" s="8">
        <v>9.73</v>
      </c>
      <c r="G80" s="9">
        <v>10.029999999999999</v>
      </c>
    </row>
    <row r="81" spans="2:7">
      <c r="B81" s="7">
        <v>11</v>
      </c>
      <c r="C81" s="8">
        <v>10.07</v>
      </c>
      <c r="D81" s="8">
        <v>9.67</v>
      </c>
      <c r="E81" s="8">
        <v>14.77</v>
      </c>
      <c r="F81" s="8">
        <v>10.17</v>
      </c>
      <c r="G81" s="9">
        <v>9.8000000000000007</v>
      </c>
    </row>
    <row r="82" spans="2:7">
      <c r="B82" s="7">
        <v>10.93</v>
      </c>
      <c r="C82" s="8">
        <v>11.67</v>
      </c>
      <c r="D82" s="8">
        <v>9.3000000000000007</v>
      </c>
      <c r="E82" s="8">
        <v>15.73</v>
      </c>
      <c r="F82" s="8">
        <v>10.029999999999999</v>
      </c>
      <c r="G82" s="9">
        <v>9.17</v>
      </c>
    </row>
    <row r="83" spans="2:7">
      <c r="B83" s="7">
        <v>11.13</v>
      </c>
      <c r="C83" s="8">
        <v>11.63</v>
      </c>
      <c r="D83" s="8">
        <v>9.23</v>
      </c>
      <c r="E83" s="8">
        <v>22.03</v>
      </c>
      <c r="F83" s="8">
        <v>10.07</v>
      </c>
      <c r="G83" s="9">
        <v>9.4</v>
      </c>
    </row>
    <row r="84" spans="2:7">
      <c r="B84" s="7">
        <v>11.3</v>
      </c>
      <c r="C84" s="8">
        <v>10.3</v>
      </c>
      <c r="D84" s="8">
        <v>10.83</v>
      </c>
      <c r="E84" s="8">
        <v>15.03</v>
      </c>
      <c r="F84" s="8">
        <v>10.4</v>
      </c>
      <c r="G84" s="9">
        <v>9.93</v>
      </c>
    </row>
    <row r="85" spans="2:7">
      <c r="B85" s="7">
        <v>11.43</v>
      </c>
      <c r="C85" s="8">
        <v>11.93</v>
      </c>
      <c r="D85" s="8">
        <v>10.6</v>
      </c>
      <c r="E85" s="8">
        <v>17.77</v>
      </c>
      <c r="F85" s="8">
        <v>9.6300000000000008</v>
      </c>
      <c r="G85" s="9">
        <v>9.4700000000000006</v>
      </c>
    </row>
    <row r="86" spans="2:7">
      <c r="B86" s="7">
        <v>11.73</v>
      </c>
      <c r="C86" s="8">
        <v>10.47</v>
      </c>
      <c r="D86" s="8">
        <v>9.4</v>
      </c>
      <c r="E86" s="8">
        <v>13.2</v>
      </c>
      <c r="F86" s="8">
        <v>10</v>
      </c>
      <c r="G86" s="9">
        <v>10</v>
      </c>
    </row>
    <row r="87" spans="2:7">
      <c r="B87" s="7">
        <v>11.3</v>
      </c>
      <c r="C87" s="8">
        <v>10.93</v>
      </c>
      <c r="D87" s="8">
        <v>9.17</v>
      </c>
      <c r="E87" s="8">
        <v>18.5</v>
      </c>
      <c r="F87" s="8">
        <v>10.97</v>
      </c>
      <c r="G87" s="9">
        <v>9.83</v>
      </c>
    </row>
    <row r="88" spans="2:7">
      <c r="B88" s="7">
        <v>11.53</v>
      </c>
      <c r="C88" s="8">
        <v>9.73</v>
      </c>
      <c r="D88" s="8">
        <v>9.4</v>
      </c>
      <c r="E88" s="8">
        <v>15.27</v>
      </c>
      <c r="F88" s="8">
        <v>10.53</v>
      </c>
      <c r="G88" s="9">
        <v>10.07</v>
      </c>
    </row>
    <row r="89" spans="2:7">
      <c r="B89" s="7">
        <v>10.63</v>
      </c>
      <c r="C89" s="8">
        <v>11.83</v>
      </c>
      <c r="D89" s="8">
        <v>9.5</v>
      </c>
      <c r="E89" s="8">
        <v>16.329999999999998</v>
      </c>
      <c r="F89" s="8">
        <v>9.77</v>
      </c>
      <c r="G89" s="9">
        <v>10.17</v>
      </c>
    </row>
    <row r="90" spans="2:7">
      <c r="B90" s="7">
        <v>12.3</v>
      </c>
      <c r="C90" s="8">
        <v>11</v>
      </c>
      <c r="D90" s="8">
        <v>10.029999999999999</v>
      </c>
      <c r="E90" s="8">
        <v>15.93</v>
      </c>
      <c r="F90" s="8">
        <v>10</v>
      </c>
      <c r="G90" s="9">
        <v>9.6300000000000008</v>
      </c>
    </row>
    <row r="91" spans="2:7">
      <c r="B91" s="7">
        <v>11.47</v>
      </c>
      <c r="C91" s="8">
        <v>13.93</v>
      </c>
      <c r="D91" s="8">
        <v>9.1999999999999993</v>
      </c>
      <c r="E91" s="8">
        <v>17.670000000000002</v>
      </c>
      <c r="F91" s="8">
        <v>9.9</v>
      </c>
      <c r="G91" s="9">
        <v>10.029999999999999</v>
      </c>
    </row>
    <row r="92" spans="2:7">
      <c r="B92" s="7">
        <v>11.7</v>
      </c>
      <c r="C92" s="8">
        <v>12.4</v>
      </c>
      <c r="D92" s="8">
        <v>10</v>
      </c>
      <c r="E92" s="8">
        <v>23.23</v>
      </c>
      <c r="F92" s="8">
        <v>10.07</v>
      </c>
      <c r="G92" s="9">
        <v>9.67</v>
      </c>
    </row>
    <row r="93" spans="2:7">
      <c r="B93" s="7">
        <v>11.7</v>
      </c>
      <c r="C93" s="8">
        <v>11.1</v>
      </c>
      <c r="D93" s="8">
        <v>9.83</v>
      </c>
      <c r="E93" s="8">
        <v>14.1</v>
      </c>
      <c r="F93" s="8">
        <v>9.8000000000000007</v>
      </c>
      <c r="G93" s="9">
        <v>10.27</v>
      </c>
    </row>
    <row r="94" spans="2:7">
      <c r="B94" s="7">
        <v>11.3</v>
      </c>
      <c r="C94" s="8">
        <v>11.77</v>
      </c>
      <c r="D94" s="8">
        <v>9.8699999999999992</v>
      </c>
      <c r="E94" s="8">
        <v>14.6</v>
      </c>
      <c r="F94" s="8">
        <v>10.8</v>
      </c>
      <c r="G94" s="9">
        <v>10.130000000000001</v>
      </c>
    </row>
    <row r="95" spans="2:7">
      <c r="B95" s="7">
        <v>11.63</v>
      </c>
      <c r="C95" s="8">
        <v>10.07</v>
      </c>
      <c r="D95" s="8">
        <v>9.6</v>
      </c>
      <c r="E95" s="8">
        <v>18.03</v>
      </c>
      <c r="F95" s="8">
        <v>10.4</v>
      </c>
      <c r="G95" s="9">
        <v>9.8699999999999992</v>
      </c>
    </row>
    <row r="96" spans="2:7">
      <c r="B96" s="7">
        <v>11.7</v>
      </c>
      <c r="C96" s="8">
        <v>10.93</v>
      </c>
      <c r="D96" s="8">
        <v>9.33</v>
      </c>
      <c r="E96" s="8">
        <v>13.87</v>
      </c>
      <c r="F96" s="8">
        <v>10.77</v>
      </c>
      <c r="G96" s="9">
        <v>9.9700000000000006</v>
      </c>
    </row>
    <row r="97" spans="2:10">
      <c r="B97" s="7">
        <v>11.03</v>
      </c>
      <c r="C97" s="8">
        <v>10.6</v>
      </c>
      <c r="D97" s="8">
        <v>10.8</v>
      </c>
      <c r="E97" s="8">
        <v>15.67</v>
      </c>
      <c r="F97" s="8">
        <v>11</v>
      </c>
      <c r="G97" s="9">
        <v>9.4</v>
      </c>
    </row>
    <row r="98" spans="2:10">
      <c r="B98" s="7">
        <v>10.9</v>
      </c>
      <c r="C98" s="8">
        <v>10.43</v>
      </c>
      <c r="D98" s="8">
        <v>9.1</v>
      </c>
      <c r="E98" s="8">
        <v>17.100000000000001</v>
      </c>
      <c r="F98" s="8">
        <v>10.57</v>
      </c>
      <c r="G98" s="9">
        <v>9.27</v>
      </c>
    </row>
    <row r="99" spans="2:10">
      <c r="B99" s="7">
        <v>11.03</v>
      </c>
      <c r="C99" s="8">
        <v>10.6</v>
      </c>
      <c r="D99" s="8">
        <v>10.029999999999999</v>
      </c>
      <c r="E99" s="8">
        <v>18.899999999999999</v>
      </c>
      <c r="F99" s="8">
        <v>10.43</v>
      </c>
      <c r="G99" s="9">
        <v>9.9700000000000006</v>
      </c>
    </row>
    <row r="100" spans="2:10">
      <c r="B100" s="7">
        <v>11.5</v>
      </c>
      <c r="C100" s="8">
        <v>10.3</v>
      </c>
      <c r="D100" s="8">
        <v>9.73</v>
      </c>
      <c r="E100" s="8">
        <v>16.03</v>
      </c>
      <c r="F100" s="8">
        <v>10.53</v>
      </c>
      <c r="G100" s="9">
        <v>9.1</v>
      </c>
    </row>
    <row r="101" spans="2:10">
      <c r="B101" s="7">
        <v>11.8</v>
      </c>
      <c r="C101" s="8">
        <v>10.77</v>
      </c>
      <c r="D101" s="8">
        <v>10.07</v>
      </c>
      <c r="E101" s="8">
        <v>15.37</v>
      </c>
      <c r="F101" s="8">
        <v>9.93</v>
      </c>
      <c r="G101" s="9">
        <v>9.07</v>
      </c>
    </row>
    <row r="102" spans="2:10">
      <c r="B102" s="10">
        <v>12.47</v>
      </c>
      <c r="C102" s="11">
        <v>11.17</v>
      </c>
      <c r="D102" s="11">
        <v>10.27</v>
      </c>
      <c r="E102" s="11">
        <v>14.23</v>
      </c>
      <c r="F102" s="11">
        <v>10.43</v>
      </c>
      <c r="G102" s="12">
        <v>9.6999999999999993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 ht="15" customHeight="1">
      <c r="B107" s="71" t="s">
        <v>19</v>
      </c>
      <c r="C107" s="79">
        <v>11.407999999999999</v>
      </c>
      <c r="D107" s="79">
        <v>0.48859999999999998</v>
      </c>
      <c r="E107" s="79">
        <v>11.4</v>
      </c>
      <c r="F107" s="79">
        <v>11.312200000000001</v>
      </c>
      <c r="G107" s="79">
        <v>11.5038</v>
      </c>
      <c r="H107" s="81">
        <v>10.23</v>
      </c>
      <c r="I107" s="81">
        <v>13.03</v>
      </c>
      <c r="J107" s="72">
        <v>4.3</v>
      </c>
    </row>
    <row r="108" spans="2:10" ht="15" customHeight="1">
      <c r="B108" s="71" t="s">
        <v>20</v>
      </c>
      <c r="C108" s="79">
        <v>11.2125</v>
      </c>
      <c r="D108" s="79">
        <v>1.012</v>
      </c>
      <c r="E108" s="79">
        <v>11.1</v>
      </c>
      <c r="F108" s="79">
        <v>11.014099999999999</v>
      </c>
      <c r="G108" s="79">
        <v>11.4109</v>
      </c>
      <c r="H108" s="81">
        <v>9.6300000000000008</v>
      </c>
      <c r="I108" s="81">
        <v>14.4</v>
      </c>
      <c r="J108" s="72">
        <v>9</v>
      </c>
    </row>
    <row r="109" spans="2:10" ht="15" customHeight="1">
      <c r="B109" s="71" t="s">
        <v>3</v>
      </c>
      <c r="C109" s="79">
        <v>9.7941000000000003</v>
      </c>
      <c r="D109" s="79">
        <v>0.53820000000000001</v>
      </c>
      <c r="E109" s="79">
        <v>9.6850000000000005</v>
      </c>
      <c r="F109" s="79">
        <v>9.6885999999999992</v>
      </c>
      <c r="G109" s="79">
        <v>9.8995999999999995</v>
      </c>
      <c r="H109" s="81">
        <v>8.77</v>
      </c>
      <c r="I109" s="81">
        <v>11.8</v>
      </c>
      <c r="J109" s="72">
        <v>5.5</v>
      </c>
    </row>
    <row r="110" spans="2:10" ht="15" customHeight="1">
      <c r="B110" s="71" t="s">
        <v>21</v>
      </c>
      <c r="C110" s="79">
        <v>16.9297</v>
      </c>
      <c r="D110" s="79">
        <v>2.6316999999999999</v>
      </c>
      <c r="E110" s="79">
        <v>16.47</v>
      </c>
      <c r="F110" s="79">
        <v>16.413900000000002</v>
      </c>
      <c r="G110" s="79">
        <v>17.445499999999999</v>
      </c>
      <c r="H110" s="81">
        <v>12.53</v>
      </c>
      <c r="I110" s="81">
        <v>24.6</v>
      </c>
      <c r="J110" s="72">
        <v>15.5</v>
      </c>
    </row>
    <row r="111" spans="2:10" ht="15" customHeight="1">
      <c r="B111" s="71" t="s">
        <v>22</v>
      </c>
      <c r="C111" s="79">
        <v>10.2341</v>
      </c>
      <c r="D111" s="79">
        <v>0.43569999999999998</v>
      </c>
      <c r="E111" s="79">
        <v>10.17</v>
      </c>
      <c r="F111" s="79">
        <v>10.1487</v>
      </c>
      <c r="G111" s="79">
        <v>10.3195</v>
      </c>
      <c r="H111" s="81">
        <v>9.43</v>
      </c>
      <c r="I111" s="81">
        <v>11.73</v>
      </c>
      <c r="J111" s="72">
        <v>4.3</v>
      </c>
    </row>
    <row r="112" spans="2:10" ht="15" customHeight="1">
      <c r="B112" s="73" t="s">
        <v>6</v>
      </c>
      <c r="C112" s="80">
        <v>9.7063000000000006</v>
      </c>
      <c r="D112" s="80">
        <v>0.40620000000000001</v>
      </c>
      <c r="E112" s="80">
        <v>9.7149999999999999</v>
      </c>
      <c r="F112" s="80">
        <v>9.6266999999999996</v>
      </c>
      <c r="G112" s="80">
        <v>9.7858999999999998</v>
      </c>
      <c r="H112" s="82">
        <v>8.77</v>
      </c>
      <c r="I112" s="82">
        <v>10.93</v>
      </c>
      <c r="J112" s="74">
        <v>4.2</v>
      </c>
    </row>
    <row r="113" spans="2:10" ht="15" customHeight="1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 ht="15" customHeight="1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 ht="15" customHeight="1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 ht="15" customHeight="1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5" customHeight="1">
      <c r="B117" s="77">
        <v>74.932199999999995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 ht="15" customHeight="1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 ht="15" customHeight="1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 ht="15" customHeight="1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 ht="15" customHeight="1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5" customHeight="1">
      <c r="B122" s="87">
        <v>303.26639999999998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 ht="15" customHeight="1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 ht="15" customHeight="1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 ht="15" customHeight="1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 ht="15" customHeight="1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 ht="15" customHeight="1">
      <c r="B127" s="93" t="s">
        <v>19</v>
      </c>
      <c r="C127" s="95" t="s">
        <v>20</v>
      </c>
      <c r="D127" s="91">
        <v>0.19550000000000001</v>
      </c>
      <c r="E127" s="91">
        <v>0.1124</v>
      </c>
      <c r="F127" s="91">
        <v>-2.6700000000000002E-2</v>
      </c>
      <c r="G127" s="91">
        <v>0.41770000000000002</v>
      </c>
      <c r="H127" s="92">
        <v>8.4099999999999994E-2</v>
      </c>
      <c r="I127" s="89" t="s">
        <v>40</v>
      </c>
      <c r="J127" s="66"/>
    </row>
    <row r="128" spans="2:10" ht="15" customHeight="1">
      <c r="B128" s="71" t="s">
        <v>19</v>
      </c>
      <c r="C128" s="96" t="s">
        <v>3</v>
      </c>
      <c r="D128" s="79">
        <v>1.6138999999999999</v>
      </c>
      <c r="E128" s="79">
        <v>7.2700000000000001E-2</v>
      </c>
      <c r="F128" s="79">
        <v>1.4704999999999999</v>
      </c>
      <c r="G128" s="79">
        <v>1.7573000000000001</v>
      </c>
      <c r="H128" s="88" t="s">
        <v>27</v>
      </c>
      <c r="I128" s="90" t="s">
        <v>41</v>
      </c>
      <c r="J128" s="66"/>
    </row>
    <row r="129" spans="2:10" ht="15" customHeight="1">
      <c r="B129" s="71" t="s">
        <v>19</v>
      </c>
      <c r="C129" s="96" t="s">
        <v>21</v>
      </c>
      <c r="D129" s="79">
        <v>-5.5217000000000001</v>
      </c>
      <c r="E129" s="79">
        <v>0.26769999999999999</v>
      </c>
      <c r="F129" s="79">
        <v>-6.0523999999999996</v>
      </c>
      <c r="G129" s="79">
        <v>-4.9909999999999997</v>
      </c>
      <c r="H129" s="88" t="s">
        <v>27</v>
      </c>
      <c r="I129" s="90" t="s">
        <v>41</v>
      </c>
      <c r="J129" s="66"/>
    </row>
    <row r="130" spans="2:10" ht="15" customHeight="1">
      <c r="B130" s="71" t="s">
        <v>19</v>
      </c>
      <c r="C130" s="96" t="s">
        <v>22</v>
      </c>
      <c r="D130" s="79">
        <v>1.1738999999999999</v>
      </c>
      <c r="E130" s="79">
        <v>6.5500000000000003E-2</v>
      </c>
      <c r="F130" s="79">
        <v>1.0448</v>
      </c>
      <c r="G130" s="79">
        <v>1.3029999999999999</v>
      </c>
      <c r="H130" s="88" t="s">
        <v>27</v>
      </c>
      <c r="I130" s="90" t="s">
        <v>41</v>
      </c>
      <c r="J130" s="66"/>
    </row>
    <row r="131" spans="2:10" ht="15" customHeight="1">
      <c r="B131" s="71" t="s">
        <v>19</v>
      </c>
      <c r="C131" s="96" t="s">
        <v>6</v>
      </c>
      <c r="D131" s="79">
        <v>1.7017</v>
      </c>
      <c r="E131" s="79">
        <v>6.3500000000000001E-2</v>
      </c>
      <c r="F131" s="79">
        <v>1.5764</v>
      </c>
      <c r="G131" s="79">
        <v>1.827</v>
      </c>
      <c r="H131" s="88" t="s">
        <v>27</v>
      </c>
      <c r="I131" s="90" t="s">
        <v>41</v>
      </c>
      <c r="J131" s="66"/>
    </row>
    <row r="132" spans="2:10" ht="15" customHeight="1">
      <c r="B132" s="71" t="s">
        <v>20</v>
      </c>
      <c r="C132" s="96" t="s">
        <v>3</v>
      </c>
      <c r="D132" s="79">
        <v>1.4184000000000001</v>
      </c>
      <c r="E132" s="79">
        <v>0.11459999999999999</v>
      </c>
      <c r="F132" s="79">
        <v>1.1919</v>
      </c>
      <c r="G132" s="79">
        <v>1.6449</v>
      </c>
      <c r="H132" s="88" t="s">
        <v>27</v>
      </c>
      <c r="I132" s="90" t="s">
        <v>41</v>
      </c>
      <c r="J132" s="66"/>
    </row>
    <row r="133" spans="2:10" ht="15" customHeight="1">
      <c r="B133" s="71" t="s">
        <v>20</v>
      </c>
      <c r="C133" s="96" t="s">
        <v>21</v>
      </c>
      <c r="D133" s="79">
        <v>-5.7172000000000001</v>
      </c>
      <c r="E133" s="79">
        <v>0.28199999999999997</v>
      </c>
      <c r="F133" s="79">
        <v>-6.2751000000000001</v>
      </c>
      <c r="G133" s="79">
        <v>-5.1593</v>
      </c>
      <c r="H133" s="88" t="s">
        <v>27</v>
      </c>
      <c r="I133" s="90" t="s">
        <v>41</v>
      </c>
      <c r="J133" s="66"/>
    </row>
    <row r="134" spans="2:10" ht="15" customHeight="1">
      <c r="B134" s="71" t="s">
        <v>20</v>
      </c>
      <c r="C134" s="96" t="s">
        <v>22</v>
      </c>
      <c r="D134" s="79">
        <v>0.97840000000000005</v>
      </c>
      <c r="E134" s="79">
        <v>0.11020000000000001</v>
      </c>
      <c r="F134" s="79">
        <v>0.76049999999999995</v>
      </c>
      <c r="G134" s="79">
        <v>1.1962999999999999</v>
      </c>
      <c r="H134" s="88" t="s">
        <v>27</v>
      </c>
      <c r="I134" s="90" t="s">
        <v>41</v>
      </c>
      <c r="J134" s="66"/>
    </row>
    <row r="135" spans="2:10" ht="15" customHeight="1">
      <c r="B135" s="71" t="s">
        <v>20</v>
      </c>
      <c r="C135" s="96" t="s">
        <v>6</v>
      </c>
      <c r="D135" s="79">
        <v>1.5062</v>
      </c>
      <c r="E135" s="79">
        <v>0.1091</v>
      </c>
      <c r="F135" s="79">
        <v>1.2905</v>
      </c>
      <c r="G135" s="79">
        <v>1.7219</v>
      </c>
      <c r="H135" s="88" t="s">
        <v>27</v>
      </c>
      <c r="I135" s="90" t="s">
        <v>41</v>
      </c>
      <c r="J135" s="66"/>
    </row>
    <row r="136" spans="2:10" ht="15" customHeight="1">
      <c r="B136" s="71" t="s">
        <v>3</v>
      </c>
      <c r="C136" s="96" t="s">
        <v>21</v>
      </c>
      <c r="D136" s="79">
        <v>-7.1356000000000002</v>
      </c>
      <c r="E136" s="79">
        <v>0.26860000000000001</v>
      </c>
      <c r="F136" s="79">
        <v>-7.6680999999999999</v>
      </c>
      <c r="G136" s="79">
        <v>-6.6031000000000004</v>
      </c>
      <c r="H136" s="88" t="s">
        <v>27</v>
      </c>
      <c r="I136" s="90" t="s">
        <v>41</v>
      </c>
      <c r="J136" s="66"/>
    </row>
    <row r="137" spans="2:10" ht="15" customHeight="1">
      <c r="B137" s="71" t="s">
        <v>3</v>
      </c>
      <c r="C137" s="96" t="s">
        <v>22</v>
      </c>
      <c r="D137" s="79">
        <v>-0.44</v>
      </c>
      <c r="E137" s="79">
        <v>6.9199999999999998E-2</v>
      </c>
      <c r="F137" s="79">
        <v>-0.5766</v>
      </c>
      <c r="G137" s="79">
        <v>-0.3034</v>
      </c>
      <c r="H137" s="88" t="s">
        <v>27</v>
      </c>
      <c r="I137" s="90" t="s">
        <v>41</v>
      </c>
      <c r="J137" s="66"/>
    </row>
    <row r="138" spans="2:10" ht="15" customHeight="1">
      <c r="B138" s="71" t="s">
        <v>3</v>
      </c>
      <c r="C138" s="96" t="s">
        <v>6</v>
      </c>
      <c r="D138" s="79">
        <v>8.7800000000000003E-2</v>
      </c>
      <c r="E138" s="79">
        <v>6.7400000000000002E-2</v>
      </c>
      <c r="F138" s="79">
        <v>-4.5199999999999997E-2</v>
      </c>
      <c r="G138" s="79">
        <v>0.2208</v>
      </c>
      <c r="H138" s="97">
        <v>0.19450000000000001</v>
      </c>
      <c r="I138" s="90" t="s">
        <v>40</v>
      </c>
      <c r="J138" s="66"/>
    </row>
    <row r="139" spans="2:10" ht="15" customHeight="1">
      <c r="B139" s="71" t="s">
        <v>21</v>
      </c>
      <c r="C139" s="96" t="s">
        <v>22</v>
      </c>
      <c r="D139" s="79">
        <v>6.6955999999999998</v>
      </c>
      <c r="E139" s="79">
        <v>0.26679999999999998</v>
      </c>
      <c r="F139" s="79">
        <v>6.1665999999999999</v>
      </c>
      <c r="G139" s="79">
        <v>7.2245999999999997</v>
      </c>
      <c r="H139" s="88" t="s">
        <v>27</v>
      </c>
      <c r="I139" s="90" t="s">
        <v>41</v>
      </c>
      <c r="J139" s="66"/>
    </row>
    <row r="140" spans="2:10" ht="15" customHeight="1">
      <c r="B140" s="71" t="s">
        <v>21</v>
      </c>
      <c r="C140" s="96" t="s">
        <v>6</v>
      </c>
      <c r="D140" s="79">
        <v>7.2233999999999998</v>
      </c>
      <c r="E140" s="79">
        <v>0.26629999999999998</v>
      </c>
      <c r="F140" s="79">
        <v>6.6952999999999996</v>
      </c>
      <c r="G140" s="79">
        <v>7.7515000000000001</v>
      </c>
      <c r="H140" s="88" t="s">
        <v>27</v>
      </c>
      <c r="I140" s="90" t="s">
        <v>41</v>
      </c>
      <c r="J140" s="66"/>
    </row>
    <row r="141" spans="2:10" ht="15" customHeight="1">
      <c r="B141" s="73" t="s">
        <v>22</v>
      </c>
      <c r="C141" s="94" t="s">
        <v>6</v>
      </c>
      <c r="D141" s="80">
        <v>0.52780000000000005</v>
      </c>
      <c r="E141" s="80">
        <v>5.96E-2</v>
      </c>
      <c r="F141" s="80">
        <v>0.4103</v>
      </c>
      <c r="G141" s="80">
        <v>0.64529999999999998</v>
      </c>
      <c r="H141" s="84" t="s">
        <v>27</v>
      </c>
      <c r="I141" s="85" t="s">
        <v>41</v>
      </c>
      <c r="J141" s="66"/>
    </row>
    <row r="142" spans="2:10" ht="15" customHeight="1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 ht="15" customHeight="1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J143"/>
  <sheetViews>
    <sheetView topLeftCell="A136" workbookViewId="0">
      <selection activeCell="A144" sqref="A144:XFD160"/>
    </sheetView>
  </sheetViews>
  <sheetFormatPr defaultColWidth="12.5703125" defaultRowHeight="15" customHeight="1"/>
  <cols>
    <col min="2" max="2" width="35.85546875" bestFit="1" customWidth="1"/>
    <col min="4" max="4" width="15.85546875" bestFit="1" customWidth="1"/>
    <col min="6" max="6" width="13.85546875" bestFit="1" customWidth="1"/>
    <col min="7" max="7" width="15.140625" bestFit="1" customWidth="1"/>
  </cols>
  <sheetData>
    <row r="1" spans="2:7">
      <c r="B1" s="53" t="s">
        <v>42</v>
      </c>
      <c r="C1" s="54"/>
      <c r="D1" s="54"/>
      <c r="E1" s="54"/>
      <c r="F1" s="54"/>
      <c r="G1" s="55"/>
    </row>
    <row r="2" spans="2:7">
      <c r="B2" s="1" t="s">
        <v>1</v>
      </c>
      <c r="C2" s="1" t="s">
        <v>2</v>
      </c>
      <c r="D2" s="2" t="s">
        <v>3</v>
      </c>
      <c r="E2" s="1" t="s">
        <v>4</v>
      </c>
      <c r="F2" s="3" t="s">
        <v>5</v>
      </c>
      <c r="G2" s="1" t="s">
        <v>6</v>
      </c>
    </row>
    <row r="3" spans="2:7">
      <c r="B3" s="4">
        <v>0.79</v>
      </c>
      <c r="C3" s="5">
        <v>0.72</v>
      </c>
      <c r="D3" s="5">
        <v>0.9</v>
      </c>
      <c r="E3" s="5">
        <v>0.6</v>
      </c>
      <c r="F3" s="5">
        <v>0.87</v>
      </c>
      <c r="G3" s="6">
        <v>0.93</v>
      </c>
    </row>
    <row r="4" spans="2:7">
      <c r="B4" s="7">
        <v>0.79</v>
      </c>
      <c r="C4" s="8">
        <v>0.83</v>
      </c>
      <c r="D4" s="8">
        <v>0.88</v>
      </c>
      <c r="E4" s="8">
        <v>0.52</v>
      </c>
      <c r="F4" s="8">
        <v>0.85</v>
      </c>
      <c r="G4" s="9">
        <v>0.92</v>
      </c>
    </row>
    <row r="5" spans="2:7">
      <c r="B5" s="7">
        <v>0.76</v>
      </c>
      <c r="C5" s="8">
        <v>0.88</v>
      </c>
      <c r="D5" s="8">
        <v>0.86</v>
      </c>
      <c r="E5" s="8">
        <v>0.49</v>
      </c>
      <c r="F5" s="8">
        <v>0.94</v>
      </c>
      <c r="G5" s="9">
        <v>0.89</v>
      </c>
    </row>
    <row r="6" spans="2:7">
      <c r="B6" s="7">
        <v>0.79</v>
      </c>
      <c r="C6" s="8">
        <v>0.74</v>
      </c>
      <c r="D6" s="8">
        <v>0.96</v>
      </c>
      <c r="E6" s="8">
        <v>0.45</v>
      </c>
      <c r="F6" s="8">
        <v>0.91</v>
      </c>
      <c r="G6" s="9">
        <v>0.92</v>
      </c>
    </row>
    <row r="7" spans="2:7">
      <c r="B7" s="7">
        <v>0.78</v>
      </c>
      <c r="C7" s="8">
        <v>0.86</v>
      </c>
      <c r="D7" s="8">
        <v>0.96</v>
      </c>
      <c r="E7" s="8">
        <v>0.65</v>
      </c>
      <c r="F7" s="8">
        <v>0.88</v>
      </c>
      <c r="G7" s="9">
        <v>0.88</v>
      </c>
    </row>
    <row r="8" spans="2:7">
      <c r="B8" s="7">
        <v>0.86</v>
      </c>
      <c r="C8" s="8">
        <v>0.79</v>
      </c>
      <c r="D8" s="8">
        <v>0.91</v>
      </c>
      <c r="E8" s="8">
        <v>0.56999999999999995</v>
      </c>
      <c r="F8" s="8">
        <v>0.82</v>
      </c>
      <c r="G8" s="9">
        <v>0.89</v>
      </c>
    </row>
    <row r="9" spans="2:7">
      <c r="B9" s="7">
        <v>0.81</v>
      </c>
      <c r="C9" s="8">
        <v>0.85</v>
      </c>
      <c r="D9" s="8">
        <v>0.98</v>
      </c>
      <c r="E9" s="8">
        <v>0.53</v>
      </c>
      <c r="F9" s="8">
        <v>0.84</v>
      </c>
      <c r="G9" s="9">
        <v>0.98</v>
      </c>
    </row>
    <row r="10" spans="2:7">
      <c r="B10" s="7">
        <v>0.77</v>
      </c>
      <c r="C10" s="8">
        <v>0.92</v>
      </c>
      <c r="D10" s="8">
        <v>0.87</v>
      </c>
      <c r="E10" s="8">
        <v>0.37</v>
      </c>
      <c r="F10" s="8">
        <v>0.91</v>
      </c>
      <c r="G10" s="9">
        <v>0.92</v>
      </c>
    </row>
    <row r="11" spans="2:7">
      <c r="B11" s="7">
        <v>0.79</v>
      </c>
      <c r="C11" s="8">
        <v>0.81</v>
      </c>
      <c r="D11" s="8">
        <v>0.92</v>
      </c>
      <c r="E11" s="8">
        <v>0.49</v>
      </c>
      <c r="F11" s="8">
        <v>0.92</v>
      </c>
      <c r="G11" s="9">
        <v>1.03</v>
      </c>
    </row>
    <row r="12" spans="2:7">
      <c r="B12" s="7">
        <v>0.82</v>
      </c>
      <c r="C12" s="8">
        <v>0.91</v>
      </c>
      <c r="D12" s="8">
        <v>0.98</v>
      </c>
      <c r="E12" s="8">
        <v>0.46</v>
      </c>
      <c r="F12" s="8">
        <v>0.89</v>
      </c>
      <c r="G12" s="9">
        <v>0.98</v>
      </c>
    </row>
    <row r="13" spans="2:7">
      <c r="B13" s="7">
        <v>0.8</v>
      </c>
      <c r="C13" s="8">
        <v>0.86</v>
      </c>
      <c r="D13" s="8">
        <v>0.93</v>
      </c>
      <c r="E13" s="8">
        <v>0.65</v>
      </c>
      <c r="F13" s="8">
        <v>0.92</v>
      </c>
      <c r="G13" s="9">
        <v>0.9</v>
      </c>
    </row>
    <row r="14" spans="2:7">
      <c r="B14" s="7">
        <v>0.84</v>
      </c>
      <c r="C14" s="8">
        <v>0.82</v>
      </c>
      <c r="D14" s="8">
        <v>0.94</v>
      </c>
      <c r="E14" s="8">
        <v>0.57999999999999996</v>
      </c>
      <c r="F14" s="8">
        <v>0.77</v>
      </c>
      <c r="G14" s="9">
        <v>0.91</v>
      </c>
    </row>
    <row r="15" spans="2:7">
      <c r="B15" s="7">
        <v>0.88</v>
      </c>
      <c r="C15" s="8">
        <v>0.88</v>
      </c>
      <c r="D15" s="8">
        <v>0.95</v>
      </c>
      <c r="E15" s="8">
        <v>0.45</v>
      </c>
      <c r="F15" s="8">
        <v>0.87</v>
      </c>
      <c r="G15" s="9">
        <v>0.97</v>
      </c>
    </row>
    <row r="16" spans="2:7">
      <c r="B16" s="7">
        <v>0.81</v>
      </c>
      <c r="C16" s="8">
        <v>0.94</v>
      </c>
      <c r="D16" s="8">
        <v>0.89</v>
      </c>
      <c r="E16" s="8">
        <v>0.57999999999999996</v>
      </c>
      <c r="F16" s="8">
        <v>0.87</v>
      </c>
      <c r="G16" s="9">
        <v>0.96</v>
      </c>
    </row>
    <row r="17" spans="2:7">
      <c r="B17" s="7">
        <v>0.8</v>
      </c>
      <c r="C17" s="8">
        <v>0.85</v>
      </c>
      <c r="D17" s="8">
        <v>0.9</v>
      </c>
      <c r="E17" s="8">
        <v>0.65</v>
      </c>
      <c r="F17" s="8">
        <v>0.83</v>
      </c>
      <c r="G17" s="9">
        <v>0.95</v>
      </c>
    </row>
    <row r="18" spans="2:7">
      <c r="B18" s="7">
        <v>0.81</v>
      </c>
      <c r="C18" s="8">
        <v>0.77</v>
      </c>
      <c r="D18" s="8">
        <v>1.03</v>
      </c>
      <c r="E18" s="8">
        <v>0.61</v>
      </c>
      <c r="F18" s="8">
        <v>0.88</v>
      </c>
      <c r="G18" s="9">
        <v>0.97</v>
      </c>
    </row>
    <row r="19" spans="2:7">
      <c r="B19" s="7">
        <v>0.75</v>
      </c>
      <c r="C19" s="8">
        <v>0.81</v>
      </c>
      <c r="D19" s="8">
        <v>0.97</v>
      </c>
      <c r="E19" s="8">
        <v>0.43</v>
      </c>
      <c r="F19" s="8">
        <v>0.85</v>
      </c>
      <c r="G19" s="9">
        <v>0.92</v>
      </c>
    </row>
    <row r="20" spans="2:7">
      <c r="B20" s="7">
        <v>0.8</v>
      </c>
      <c r="C20" s="8">
        <v>0.79</v>
      </c>
      <c r="D20" s="8">
        <v>0.86</v>
      </c>
      <c r="E20" s="8">
        <v>0.6</v>
      </c>
      <c r="F20" s="8">
        <v>0.89</v>
      </c>
      <c r="G20" s="9">
        <v>0.93</v>
      </c>
    </row>
    <row r="21" spans="2:7">
      <c r="B21" s="7">
        <v>0.83</v>
      </c>
      <c r="C21" s="8">
        <v>0.89</v>
      </c>
      <c r="D21" s="8">
        <v>0.89</v>
      </c>
      <c r="E21" s="8">
        <v>0.72</v>
      </c>
      <c r="F21" s="8">
        <v>0.87</v>
      </c>
      <c r="G21" s="9">
        <v>0.89</v>
      </c>
    </row>
    <row r="22" spans="2:7">
      <c r="B22" s="7">
        <v>0.77</v>
      </c>
      <c r="C22" s="8">
        <v>0.78</v>
      </c>
      <c r="D22" s="8">
        <v>0.93</v>
      </c>
      <c r="E22" s="8">
        <v>0.5</v>
      </c>
      <c r="F22" s="8">
        <v>0.92</v>
      </c>
      <c r="G22" s="9">
        <v>0.91</v>
      </c>
    </row>
    <row r="23" spans="2:7">
      <c r="B23" s="7">
        <v>0.75</v>
      </c>
      <c r="C23" s="8">
        <v>0.79</v>
      </c>
      <c r="D23" s="8">
        <v>0.94</v>
      </c>
      <c r="E23" s="8">
        <v>0.43</v>
      </c>
      <c r="F23" s="8">
        <v>0.89</v>
      </c>
      <c r="G23" s="9">
        <v>0.85</v>
      </c>
    </row>
    <row r="24" spans="2:7">
      <c r="B24" s="7">
        <v>0.84</v>
      </c>
      <c r="C24" s="8">
        <v>0.8</v>
      </c>
      <c r="D24" s="8">
        <v>0.99</v>
      </c>
      <c r="E24" s="8">
        <v>0.61</v>
      </c>
      <c r="F24" s="8">
        <v>0.91</v>
      </c>
      <c r="G24" s="9">
        <v>0.95</v>
      </c>
    </row>
    <row r="25" spans="2:7">
      <c r="B25" s="7">
        <v>0.83</v>
      </c>
      <c r="C25" s="8">
        <v>0.83</v>
      </c>
      <c r="D25" s="8">
        <v>0.94</v>
      </c>
      <c r="E25" s="8">
        <v>0.59</v>
      </c>
      <c r="F25" s="8">
        <v>0.94</v>
      </c>
      <c r="G25" s="9">
        <v>0.9</v>
      </c>
    </row>
    <row r="26" spans="2:7">
      <c r="B26" s="7">
        <v>0.77</v>
      </c>
      <c r="C26" s="8">
        <v>0.84</v>
      </c>
      <c r="D26" s="8">
        <v>0.97</v>
      </c>
      <c r="E26" s="8">
        <v>0.42</v>
      </c>
      <c r="F26" s="8">
        <v>0.89</v>
      </c>
      <c r="G26" s="9">
        <v>0.96</v>
      </c>
    </row>
    <row r="27" spans="2:7">
      <c r="B27" s="7">
        <v>0.8</v>
      </c>
      <c r="C27" s="8">
        <v>0.89</v>
      </c>
      <c r="D27" s="8">
        <v>0.93</v>
      </c>
      <c r="E27" s="8">
        <v>0.49</v>
      </c>
      <c r="F27" s="8">
        <v>0.9</v>
      </c>
      <c r="G27" s="9">
        <v>0.96</v>
      </c>
    </row>
    <row r="28" spans="2:7">
      <c r="B28" s="7">
        <v>0.78</v>
      </c>
      <c r="C28" s="8">
        <v>0.75</v>
      </c>
      <c r="D28" s="8">
        <v>0.94</v>
      </c>
      <c r="E28" s="8">
        <v>0.47</v>
      </c>
      <c r="F28" s="8">
        <v>0.9</v>
      </c>
      <c r="G28" s="9">
        <v>0.92</v>
      </c>
    </row>
    <row r="29" spans="2:7">
      <c r="B29" s="7">
        <v>0.77</v>
      </c>
      <c r="C29" s="8">
        <v>0.78</v>
      </c>
      <c r="D29" s="8">
        <v>0.84</v>
      </c>
      <c r="E29" s="8">
        <v>0.67</v>
      </c>
      <c r="F29" s="8">
        <v>0.92</v>
      </c>
      <c r="G29" s="9">
        <v>0.99</v>
      </c>
    </row>
    <row r="30" spans="2:7">
      <c r="B30" s="7">
        <v>0.85</v>
      </c>
      <c r="C30" s="8">
        <v>0.84</v>
      </c>
      <c r="D30" s="8">
        <v>0.98</v>
      </c>
      <c r="E30" s="8">
        <v>0.4</v>
      </c>
      <c r="F30" s="8">
        <v>0.84</v>
      </c>
      <c r="G30" s="9">
        <v>0.9</v>
      </c>
    </row>
    <row r="31" spans="2:7">
      <c r="B31" s="7">
        <v>0.77</v>
      </c>
      <c r="C31" s="8">
        <v>0.81</v>
      </c>
      <c r="D31" s="8">
        <v>0.92</v>
      </c>
      <c r="E31" s="8">
        <v>0.54</v>
      </c>
      <c r="F31" s="8">
        <v>0.86</v>
      </c>
      <c r="G31" s="9">
        <v>0.98</v>
      </c>
    </row>
    <row r="32" spans="2:7">
      <c r="B32" s="7">
        <v>0.75</v>
      </c>
      <c r="C32" s="8">
        <v>0.91</v>
      </c>
      <c r="D32" s="8">
        <v>0.95</v>
      </c>
      <c r="E32" s="8">
        <v>0.43</v>
      </c>
      <c r="F32" s="8">
        <v>0.89</v>
      </c>
      <c r="G32" s="9">
        <v>0.9</v>
      </c>
    </row>
    <row r="33" spans="2:7">
      <c r="B33" s="7">
        <v>0.79</v>
      </c>
      <c r="C33" s="8">
        <v>0.8</v>
      </c>
      <c r="D33" s="8">
        <v>0.91</v>
      </c>
      <c r="E33" s="8">
        <v>0.62</v>
      </c>
      <c r="F33" s="8">
        <v>0.93</v>
      </c>
      <c r="G33" s="9">
        <v>0.89</v>
      </c>
    </row>
    <row r="34" spans="2:7">
      <c r="B34" s="7">
        <v>0.84</v>
      </c>
      <c r="C34" s="8">
        <v>0.88</v>
      </c>
      <c r="D34" s="8">
        <v>0.9</v>
      </c>
      <c r="E34" s="8">
        <v>0.67</v>
      </c>
      <c r="F34" s="8">
        <v>0.89</v>
      </c>
      <c r="G34" s="9">
        <v>0.92</v>
      </c>
    </row>
    <row r="35" spans="2:7">
      <c r="B35" s="7">
        <v>0.74</v>
      </c>
      <c r="C35" s="8">
        <v>0.74</v>
      </c>
      <c r="D35" s="8">
        <v>0.91</v>
      </c>
      <c r="E35" s="8">
        <v>0.55000000000000004</v>
      </c>
      <c r="F35" s="8">
        <v>0.88</v>
      </c>
      <c r="G35" s="9">
        <v>0.94</v>
      </c>
    </row>
    <row r="36" spans="2:7">
      <c r="B36" s="7">
        <v>0.73</v>
      </c>
      <c r="C36" s="8">
        <v>0.69</v>
      </c>
      <c r="D36" s="8">
        <v>0.98</v>
      </c>
      <c r="E36" s="8">
        <v>0.55000000000000004</v>
      </c>
      <c r="F36" s="8">
        <v>0.85</v>
      </c>
      <c r="G36" s="9">
        <v>0.94</v>
      </c>
    </row>
    <row r="37" spans="2:7">
      <c r="B37" s="7">
        <v>0.81</v>
      </c>
      <c r="C37" s="8">
        <v>0.64</v>
      </c>
      <c r="D37" s="8">
        <v>0.91</v>
      </c>
      <c r="E37" s="8">
        <v>0.52</v>
      </c>
      <c r="F37" s="8">
        <v>0.91</v>
      </c>
      <c r="G37" s="9">
        <v>1.01</v>
      </c>
    </row>
    <row r="38" spans="2:7">
      <c r="B38" s="7">
        <v>0.76</v>
      </c>
      <c r="C38" s="8">
        <v>0.75</v>
      </c>
      <c r="D38" s="8">
        <v>0.96</v>
      </c>
      <c r="E38" s="8">
        <v>0.61</v>
      </c>
      <c r="F38" s="8">
        <v>0.92</v>
      </c>
      <c r="G38" s="9">
        <v>0.83</v>
      </c>
    </row>
    <row r="39" spans="2:7">
      <c r="B39" s="7">
        <v>0.79</v>
      </c>
      <c r="C39" s="8">
        <v>0.87</v>
      </c>
      <c r="D39" s="8">
        <v>0.96</v>
      </c>
      <c r="E39" s="8">
        <v>0.59</v>
      </c>
      <c r="F39" s="8">
        <v>0.9</v>
      </c>
      <c r="G39" s="9">
        <v>0.92</v>
      </c>
    </row>
    <row r="40" spans="2:7">
      <c r="B40" s="7">
        <v>0.79</v>
      </c>
      <c r="C40" s="8">
        <v>0.86</v>
      </c>
      <c r="D40" s="8">
        <v>0.94</v>
      </c>
      <c r="E40" s="8">
        <v>0.55000000000000004</v>
      </c>
      <c r="F40" s="8">
        <v>0.88</v>
      </c>
      <c r="G40" s="9">
        <v>0.88</v>
      </c>
    </row>
    <row r="41" spans="2:7">
      <c r="B41" s="7">
        <v>0.81</v>
      </c>
      <c r="C41" s="8">
        <v>0.71</v>
      </c>
      <c r="D41" s="8">
        <v>0.94</v>
      </c>
      <c r="E41" s="8">
        <v>0.53</v>
      </c>
      <c r="F41" s="8">
        <v>0.85</v>
      </c>
      <c r="G41" s="9">
        <v>0.97</v>
      </c>
    </row>
    <row r="42" spans="2:7">
      <c r="B42" s="7">
        <v>0.79</v>
      </c>
      <c r="C42" s="8">
        <v>0.84</v>
      </c>
      <c r="D42" s="8">
        <v>0.89</v>
      </c>
      <c r="E42" s="8">
        <v>0.55000000000000004</v>
      </c>
      <c r="F42" s="8">
        <v>0.85</v>
      </c>
      <c r="G42" s="9">
        <v>0.98</v>
      </c>
    </row>
    <row r="43" spans="2:7">
      <c r="B43" s="7">
        <v>0.82</v>
      </c>
      <c r="C43" s="8">
        <v>0.74</v>
      </c>
      <c r="D43" s="8">
        <v>0.9</v>
      </c>
      <c r="E43" s="8">
        <v>0.49</v>
      </c>
      <c r="F43" s="8">
        <v>0.87</v>
      </c>
      <c r="G43" s="9">
        <v>0.97</v>
      </c>
    </row>
    <row r="44" spans="2:7">
      <c r="B44" s="7">
        <v>0.82</v>
      </c>
      <c r="C44" s="8">
        <v>0.73</v>
      </c>
      <c r="D44" s="8">
        <v>1.01</v>
      </c>
      <c r="E44" s="8">
        <v>0.54</v>
      </c>
      <c r="F44" s="8">
        <v>0.87</v>
      </c>
      <c r="G44" s="9">
        <v>0.9</v>
      </c>
    </row>
    <row r="45" spans="2:7">
      <c r="B45" s="7">
        <v>0.8</v>
      </c>
      <c r="C45" s="8">
        <v>0.78</v>
      </c>
      <c r="D45" s="8">
        <v>0.92</v>
      </c>
      <c r="E45" s="8">
        <v>0.65</v>
      </c>
      <c r="F45" s="8">
        <v>0.82</v>
      </c>
      <c r="G45" s="9">
        <v>0.93</v>
      </c>
    </row>
    <row r="46" spans="2:7">
      <c r="B46" s="7">
        <v>0.79</v>
      </c>
      <c r="C46" s="8">
        <v>0.88</v>
      </c>
      <c r="D46" s="8">
        <v>0.83</v>
      </c>
      <c r="E46" s="8">
        <v>0.51</v>
      </c>
      <c r="F46" s="8">
        <v>0.95</v>
      </c>
      <c r="G46" s="9">
        <v>0.98</v>
      </c>
    </row>
    <row r="47" spans="2:7">
      <c r="B47" s="7">
        <v>0.8</v>
      </c>
      <c r="C47" s="8">
        <v>0.76</v>
      </c>
      <c r="D47" s="8">
        <v>0.94</v>
      </c>
      <c r="E47" s="8">
        <v>0.56999999999999995</v>
      </c>
      <c r="F47" s="8">
        <v>0.91</v>
      </c>
      <c r="G47" s="9">
        <v>0.95</v>
      </c>
    </row>
    <row r="48" spans="2:7">
      <c r="B48" s="7">
        <v>0.78</v>
      </c>
      <c r="C48" s="8">
        <v>0.71</v>
      </c>
      <c r="D48" s="8">
        <v>0.92</v>
      </c>
      <c r="E48" s="8">
        <v>0.54</v>
      </c>
      <c r="F48" s="8">
        <v>0.9</v>
      </c>
      <c r="G48" s="9">
        <v>0.9</v>
      </c>
    </row>
    <row r="49" spans="2:7">
      <c r="B49" s="7">
        <v>0.8</v>
      </c>
      <c r="C49" s="8">
        <v>0.81</v>
      </c>
      <c r="D49" s="8">
        <v>0.79</v>
      </c>
      <c r="E49" s="8">
        <v>0.5</v>
      </c>
      <c r="F49" s="8">
        <v>0.95</v>
      </c>
      <c r="G49" s="9">
        <v>0.93</v>
      </c>
    </row>
    <row r="50" spans="2:7">
      <c r="B50" s="7">
        <v>0.8</v>
      </c>
      <c r="C50" s="8">
        <v>0.81</v>
      </c>
      <c r="D50" s="8">
        <v>0.97</v>
      </c>
      <c r="E50" s="8">
        <v>0.53</v>
      </c>
      <c r="F50" s="8">
        <v>0.96</v>
      </c>
      <c r="G50" s="9">
        <v>0.86</v>
      </c>
    </row>
    <row r="51" spans="2:7">
      <c r="B51" s="7">
        <v>0.8</v>
      </c>
      <c r="C51" s="8">
        <v>0.8</v>
      </c>
      <c r="D51" s="8">
        <v>0.94</v>
      </c>
      <c r="E51" s="8">
        <v>0.47</v>
      </c>
      <c r="F51" s="8">
        <v>0.87</v>
      </c>
      <c r="G51" s="9">
        <v>0.93</v>
      </c>
    </row>
    <row r="52" spans="2:7">
      <c r="B52" s="7">
        <v>0.86</v>
      </c>
      <c r="C52" s="8">
        <v>0.63</v>
      </c>
      <c r="D52" s="8">
        <v>0.87</v>
      </c>
      <c r="E52" s="8">
        <v>0.71</v>
      </c>
      <c r="F52" s="8">
        <v>0.82</v>
      </c>
      <c r="G52" s="9">
        <v>0.86</v>
      </c>
    </row>
    <row r="53" spans="2:7">
      <c r="B53" s="7">
        <v>0.8</v>
      </c>
      <c r="C53" s="8">
        <v>0.85</v>
      </c>
      <c r="D53" s="8">
        <v>0.86</v>
      </c>
      <c r="E53" s="8">
        <v>0.53</v>
      </c>
      <c r="F53" s="8">
        <v>0.86</v>
      </c>
      <c r="G53" s="9">
        <v>0.91</v>
      </c>
    </row>
    <row r="54" spans="2:7">
      <c r="B54" s="7">
        <v>0.84</v>
      </c>
      <c r="C54" s="8">
        <v>0.92</v>
      </c>
      <c r="D54" s="8">
        <v>0.92</v>
      </c>
      <c r="E54" s="8">
        <v>0.39</v>
      </c>
      <c r="F54" s="8">
        <v>0.9</v>
      </c>
      <c r="G54" s="9">
        <v>0.92</v>
      </c>
    </row>
    <row r="55" spans="2:7">
      <c r="B55" s="7">
        <v>0.83</v>
      </c>
      <c r="C55" s="8">
        <v>0.84</v>
      </c>
      <c r="D55" s="8">
        <v>0.92</v>
      </c>
      <c r="E55" s="8">
        <v>0.56999999999999995</v>
      </c>
      <c r="F55" s="8">
        <v>0.89</v>
      </c>
      <c r="G55" s="9">
        <v>0.95</v>
      </c>
    </row>
    <row r="56" spans="2:7">
      <c r="B56" s="7">
        <v>0.79</v>
      </c>
      <c r="C56" s="8">
        <v>0.7</v>
      </c>
      <c r="D56" s="8">
        <v>0.89</v>
      </c>
      <c r="E56" s="8">
        <v>0.51</v>
      </c>
      <c r="F56" s="8">
        <v>0.84</v>
      </c>
      <c r="G56" s="9">
        <v>0.94</v>
      </c>
    </row>
    <row r="57" spans="2:7">
      <c r="B57" s="7">
        <v>0.77</v>
      </c>
      <c r="C57" s="8">
        <v>0.83</v>
      </c>
      <c r="D57" s="8">
        <v>0.88</v>
      </c>
      <c r="E57" s="8">
        <v>0.55000000000000004</v>
      </c>
      <c r="F57" s="8">
        <v>0.89</v>
      </c>
      <c r="G57" s="9">
        <v>0.97</v>
      </c>
    </row>
    <row r="58" spans="2:7">
      <c r="B58" s="7">
        <v>0.75</v>
      </c>
      <c r="C58" s="8">
        <v>0.73</v>
      </c>
      <c r="D58" s="8">
        <v>0.85</v>
      </c>
      <c r="E58" s="8">
        <v>0.55000000000000004</v>
      </c>
      <c r="F58" s="8">
        <v>0.87</v>
      </c>
      <c r="G58" s="9">
        <v>0.92</v>
      </c>
    </row>
    <row r="59" spans="2:7">
      <c r="B59" s="7">
        <v>0.8</v>
      </c>
      <c r="C59" s="8">
        <v>0.88</v>
      </c>
      <c r="D59" s="8">
        <v>0.97</v>
      </c>
      <c r="E59" s="8">
        <v>0.59</v>
      </c>
      <c r="F59" s="8">
        <v>0.92</v>
      </c>
      <c r="G59" s="9">
        <v>0.95</v>
      </c>
    </row>
    <row r="60" spans="2:7">
      <c r="B60" s="7">
        <v>0.78</v>
      </c>
      <c r="C60" s="8">
        <v>0.76</v>
      </c>
      <c r="D60" s="8">
        <v>0.95</v>
      </c>
      <c r="E60" s="8">
        <v>0.49</v>
      </c>
      <c r="F60" s="8">
        <v>0.91</v>
      </c>
      <c r="G60" s="9">
        <v>1</v>
      </c>
    </row>
    <row r="61" spans="2:7">
      <c r="B61" s="7">
        <v>0.81</v>
      </c>
      <c r="C61" s="8">
        <v>0.9</v>
      </c>
      <c r="D61" s="8">
        <v>0.85</v>
      </c>
      <c r="E61" s="8">
        <v>0.48</v>
      </c>
      <c r="F61" s="8">
        <v>0.83</v>
      </c>
      <c r="G61" s="9">
        <v>0.93</v>
      </c>
    </row>
    <row r="62" spans="2:7">
      <c r="B62" s="7">
        <v>0.74</v>
      </c>
      <c r="C62" s="8">
        <v>0.93</v>
      </c>
      <c r="D62" s="8">
        <v>0.95</v>
      </c>
      <c r="E62" s="8">
        <v>0.67</v>
      </c>
      <c r="F62" s="8">
        <v>0.87</v>
      </c>
      <c r="G62" s="9">
        <v>0.99</v>
      </c>
    </row>
    <row r="63" spans="2:7">
      <c r="B63" s="7">
        <v>0.69</v>
      </c>
      <c r="C63" s="8">
        <v>0.8</v>
      </c>
      <c r="D63" s="8">
        <v>0.94</v>
      </c>
      <c r="E63" s="8">
        <v>0.4</v>
      </c>
      <c r="F63" s="8">
        <v>0.92</v>
      </c>
      <c r="G63" s="9">
        <v>0.89</v>
      </c>
    </row>
    <row r="64" spans="2:7">
      <c r="B64" s="7">
        <v>0.81</v>
      </c>
      <c r="C64" s="8">
        <v>0.8</v>
      </c>
      <c r="D64" s="8">
        <v>0.96</v>
      </c>
      <c r="E64" s="8">
        <v>0.63</v>
      </c>
      <c r="F64" s="8">
        <v>0.88</v>
      </c>
      <c r="G64" s="9">
        <v>0.94</v>
      </c>
    </row>
    <row r="65" spans="2:7">
      <c r="B65" s="7">
        <v>0.73</v>
      </c>
      <c r="C65" s="8">
        <v>0.81</v>
      </c>
      <c r="D65" s="8">
        <v>0.94</v>
      </c>
      <c r="E65" s="8">
        <v>0.62</v>
      </c>
      <c r="F65" s="8">
        <v>0.96</v>
      </c>
      <c r="G65" s="9">
        <v>0.95</v>
      </c>
    </row>
    <row r="66" spans="2:7">
      <c r="B66" s="7">
        <v>0.84</v>
      </c>
      <c r="C66" s="8">
        <v>0.88</v>
      </c>
      <c r="D66" s="8">
        <v>0.93</v>
      </c>
      <c r="E66" s="8">
        <v>0.52</v>
      </c>
      <c r="F66" s="8">
        <v>0.83</v>
      </c>
      <c r="G66" s="9">
        <v>0.92</v>
      </c>
    </row>
    <row r="67" spans="2:7">
      <c r="B67" s="7">
        <v>0.77</v>
      </c>
      <c r="C67" s="8">
        <v>0.7</v>
      </c>
      <c r="D67" s="8">
        <v>0.93</v>
      </c>
      <c r="E67" s="8">
        <v>0.41</v>
      </c>
      <c r="F67" s="8">
        <v>0.88</v>
      </c>
      <c r="G67" s="9">
        <v>0.98</v>
      </c>
    </row>
    <row r="68" spans="2:7">
      <c r="B68" s="7">
        <v>0.83</v>
      </c>
      <c r="C68" s="8">
        <v>0.84</v>
      </c>
      <c r="D68" s="8">
        <v>0.94</v>
      </c>
      <c r="E68" s="8">
        <v>0.43</v>
      </c>
      <c r="F68" s="8">
        <v>0.9</v>
      </c>
      <c r="G68" s="9">
        <v>0.94</v>
      </c>
    </row>
    <row r="69" spans="2:7">
      <c r="B69" s="7">
        <v>0.74</v>
      </c>
      <c r="C69" s="8">
        <v>0.71</v>
      </c>
      <c r="D69" s="8">
        <v>0.98</v>
      </c>
      <c r="E69" s="8">
        <v>0.55000000000000004</v>
      </c>
      <c r="F69" s="8">
        <v>0.88</v>
      </c>
      <c r="G69" s="9">
        <v>0.9</v>
      </c>
    </row>
    <row r="70" spans="2:7">
      <c r="B70" s="7">
        <v>0.77</v>
      </c>
      <c r="C70" s="8">
        <v>0.89</v>
      </c>
      <c r="D70" s="8">
        <v>0.97</v>
      </c>
      <c r="E70" s="8">
        <v>0.5</v>
      </c>
      <c r="F70" s="8">
        <v>0.89</v>
      </c>
      <c r="G70" s="9">
        <v>0.9</v>
      </c>
    </row>
    <row r="71" spans="2:7">
      <c r="B71" s="7">
        <v>0.78</v>
      </c>
      <c r="C71" s="8">
        <v>0.82</v>
      </c>
      <c r="D71" s="8">
        <v>0.83</v>
      </c>
      <c r="E71" s="8">
        <v>0.63</v>
      </c>
      <c r="F71" s="8">
        <v>0.83</v>
      </c>
      <c r="G71" s="9">
        <v>1.01</v>
      </c>
    </row>
    <row r="72" spans="2:7">
      <c r="B72" s="7">
        <v>0.78</v>
      </c>
      <c r="C72" s="8">
        <v>0.8</v>
      </c>
      <c r="D72" s="8">
        <v>0.99</v>
      </c>
      <c r="E72" s="8">
        <v>0.61</v>
      </c>
      <c r="F72" s="8">
        <v>0.83</v>
      </c>
      <c r="G72" s="9">
        <v>0.97</v>
      </c>
    </row>
    <row r="73" spans="2:7">
      <c r="B73" s="7">
        <v>0.75</v>
      </c>
      <c r="C73" s="8">
        <v>0.65</v>
      </c>
      <c r="D73" s="8">
        <v>0.93</v>
      </c>
      <c r="E73" s="8">
        <v>0.62</v>
      </c>
      <c r="F73" s="8">
        <v>0.93</v>
      </c>
      <c r="G73" s="9">
        <v>0.98</v>
      </c>
    </row>
    <row r="74" spans="2:7">
      <c r="B74" s="7">
        <v>0.77</v>
      </c>
      <c r="C74" s="8">
        <v>0.79</v>
      </c>
      <c r="D74" s="8">
        <v>0.91</v>
      </c>
      <c r="E74" s="8">
        <v>0.57999999999999996</v>
      </c>
      <c r="F74" s="8">
        <v>0.89</v>
      </c>
      <c r="G74" s="9">
        <v>0.91</v>
      </c>
    </row>
    <row r="75" spans="2:7">
      <c r="B75" s="7">
        <v>0.85</v>
      </c>
      <c r="C75" s="8">
        <v>0.8</v>
      </c>
      <c r="D75" s="8">
        <v>0.76</v>
      </c>
      <c r="E75" s="8">
        <v>0.51</v>
      </c>
      <c r="F75" s="8">
        <v>0.86</v>
      </c>
      <c r="G75" s="9">
        <v>0.88</v>
      </c>
    </row>
    <row r="76" spans="2:7">
      <c r="B76" s="7">
        <v>0.83</v>
      </c>
      <c r="C76" s="8">
        <v>0.86</v>
      </c>
      <c r="D76" s="8">
        <v>0.84</v>
      </c>
      <c r="E76" s="8">
        <v>0.43</v>
      </c>
      <c r="F76" s="8">
        <v>0.81</v>
      </c>
      <c r="G76" s="9">
        <v>0.94</v>
      </c>
    </row>
    <row r="77" spans="2:7">
      <c r="B77" s="7">
        <v>0.79</v>
      </c>
      <c r="C77" s="8">
        <v>0.75</v>
      </c>
      <c r="D77" s="8">
        <v>0.96</v>
      </c>
      <c r="E77" s="8">
        <v>0.54</v>
      </c>
      <c r="F77" s="8">
        <v>0.91</v>
      </c>
      <c r="G77" s="9">
        <v>0.93</v>
      </c>
    </row>
    <row r="78" spans="2:7">
      <c r="B78" s="7">
        <v>0.73</v>
      </c>
      <c r="C78" s="8">
        <v>0.78</v>
      </c>
      <c r="D78" s="8">
        <v>0.98</v>
      </c>
      <c r="E78" s="8">
        <v>0.65</v>
      </c>
      <c r="F78" s="8">
        <v>0.92</v>
      </c>
      <c r="G78" s="9">
        <v>0.86</v>
      </c>
    </row>
    <row r="79" spans="2:7">
      <c r="B79" s="7">
        <v>0.78</v>
      </c>
      <c r="C79" s="8">
        <v>0.78</v>
      </c>
      <c r="D79" s="8">
        <v>0.98</v>
      </c>
      <c r="E79" s="8">
        <v>0.56000000000000005</v>
      </c>
      <c r="F79" s="8">
        <v>0.9</v>
      </c>
      <c r="G79" s="9">
        <v>0.9</v>
      </c>
    </row>
    <row r="80" spans="2:7">
      <c r="B80" s="7">
        <v>0.77</v>
      </c>
      <c r="C80" s="8">
        <v>0.86</v>
      </c>
      <c r="D80" s="8">
        <v>0.91</v>
      </c>
      <c r="E80" s="8">
        <v>0.48</v>
      </c>
      <c r="F80" s="8">
        <v>0.93</v>
      </c>
      <c r="G80" s="9">
        <v>0.9</v>
      </c>
    </row>
    <row r="81" spans="2:7">
      <c r="B81" s="7">
        <v>0.82</v>
      </c>
      <c r="C81" s="8">
        <v>0.9</v>
      </c>
      <c r="D81" s="8">
        <v>0.93</v>
      </c>
      <c r="E81" s="8">
        <v>0.61</v>
      </c>
      <c r="F81" s="8">
        <v>0.89</v>
      </c>
      <c r="G81" s="9">
        <v>0.92</v>
      </c>
    </row>
    <row r="82" spans="2:7">
      <c r="B82" s="7">
        <v>0.82</v>
      </c>
      <c r="C82" s="8">
        <v>0.77</v>
      </c>
      <c r="D82" s="8">
        <v>0.97</v>
      </c>
      <c r="E82" s="8">
        <v>0.56999999999999995</v>
      </c>
      <c r="F82" s="8">
        <v>0.9</v>
      </c>
      <c r="G82" s="9">
        <v>0.98</v>
      </c>
    </row>
    <row r="83" spans="2:7">
      <c r="B83" s="7">
        <v>0.81</v>
      </c>
      <c r="C83" s="8">
        <v>0.78</v>
      </c>
      <c r="D83" s="8">
        <v>0.98</v>
      </c>
      <c r="E83" s="8">
        <v>0.41</v>
      </c>
      <c r="F83" s="8">
        <v>0.89</v>
      </c>
      <c r="G83" s="9">
        <v>0.96</v>
      </c>
    </row>
    <row r="84" spans="2:7">
      <c r="B84" s="7">
        <v>0.8</v>
      </c>
      <c r="C84" s="8">
        <v>0.87</v>
      </c>
      <c r="D84" s="8">
        <v>0.83</v>
      </c>
      <c r="E84" s="8">
        <v>0.6</v>
      </c>
      <c r="F84" s="8">
        <v>0.87</v>
      </c>
      <c r="G84" s="9">
        <v>0.91</v>
      </c>
    </row>
    <row r="85" spans="2:7">
      <c r="B85" s="7">
        <v>0.79</v>
      </c>
      <c r="C85" s="8">
        <v>0.75</v>
      </c>
      <c r="D85" s="8">
        <v>0.85</v>
      </c>
      <c r="E85" s="8">
        <v>0.51</v>
      </c>
      <c r="F85" s="8">
        <v>0.94</v>
      </c>
      <c r="G85" s="9">
        <v>0.95</v>
      </c>
    </row>
    <row r="86" spans="2:7">
      <c r="B86" s="7">
        <v>0.77</v>
      </c>
      <c r="C86" s="8">
        <v>0.86</v>
      </c>
      <c r="D86" s="8">
        <v>0.96</v>
      </c>
      <c r="E86" s="8">
        <v>0.69</v>
      </c>
      <c r="F86" s="8">
        <v>0.9</v>
      </c>
      <c r="G86" s="9">
        <v>0.9</v>
      </c>
    </row>
    <row r="87" spans="2:7">
      <c r="B87" s="7">
        <v>0.8</v>
      </c>
      <c r="C87" s="8">
        <v>0.83</v>
      </c>
      <c r="D87" s="8">
        <v>0.98</v>
      </c>
      <c r="E87" s="8">
        <v>0.49</v>
      </c>
      <c r="F87" s="8">
        <v>0.82</v>
      </c>
      <c r="G87" s="9">
        <v>0.92</v>
      </c>
    </row>
    <row r="88" spans="2:7">
      <c r="B88" s="7">
        <v>0.78</v>
      </c>
      <c r="C88" s="8">
        <v>0.93</v>
      </c>
      <c r="D88" s="8">
        <v>0.96</v>
      </c>
      <c r="E88" s="8">
        <v>0.59</v>
      </c>
      <c r="F88" s="8">
        <v>0.86</v>
      </c>
      <c r="G88" s="9">
        <v>0.9</v>
      </c>
    </row>
    <row r="89" spans="2:7">
      <c r="B89" s="7">
        <v>0.85</v>
      </c>
      <c r="C89" s="8">
        <v>0.76</v>
      </c>
      <c r="D89" s="8">
        <v>0.95</v>
      </c>
      <c r="E89" s="8">
        <v>0.55000000000000004</v>
      </c>
      <c r="F89" s="8">
        <v>0.92</v>
      </c>
      <c r="G89" s="9">
        <v>0.89</v>
      </c>
    </row>
    <row r="90" spans="2:7">
      <c r="B90" s="7">
        <v>0.73</v>
      </c>
      <c r="C90" s="8">
        <v>0.82</v>
      </c>
      <c r="D90" s="8">
        <v>0.9</v>
      </c>
      <c r="E90" s="8">
        <v>0.56999999999999995</v>
      </c>
      <c r="F90" s="8">
        <v>0.9</v>
      </c>
      <c r="G90" s="9">
        <v>0.94</v>
      </c>
    </row>
    <row r="91" spans="2:7">
      <c r="B91" s="7">
        <v>0.79</v>
      </c>
      <c r="C91" s="8">
        <v>0.65</v>
      </c>
      <c r="D91" s="8">
        <v>0.98</v>
      </c>
      <c r="E91" s="8">
        <v>0.51</v>
      </c>
      <c r="F91" s="8">
        <v>0.91</v>
      </c>
      <c r="G91" s="9">
        <v>0.9</v>
      </c>
    </row>
    <row r="92" spans="2:7">
      <c r="B92" s="7">
        <v>0.77</v>
      </c>
      <c r="C92" s="8">
        <v>0.73</v>
      </c>
      <c r="D92" s="8">
        <v>0.9</v>
      </c>
      <c r="E92" s="8">
        <v>0.39</v>
      </c>
      <c r="F92" s="8">
        <v>0.9</v>
      </c>
      <c r="G92" s="9">
        <v>0.93</v>
      </c>
    </row>
    <row r="93" spans="2:7">
      <c r="B93" s="7">
        <v>0.77</v>
      </c>
      <c r="C93" s="8">
        <v>0.81</v>
      </c>
      <c r="D93" s="8">
        <v>0.92</v>
      </c>
      <c r="E93" s="8">
        <v>0.64</v>
      </c>
      <c r="F93" s="8">
        <v>0.92</v>
      </c>
      <c r="G93" s="9">
        <v>0.88</v>
      </c>
    </row>
    <row r="94" spans="2:7">
      <c r="B94" s="7">
        <v>0.8</v>
      </c>
      <c r="C94" s="8">
        <v>0.77</v>
      </c>
      <c r="D94" s="8">
        <v>0.91</v>
      </c>
      <c r="E94" s="8">
        <v>0.62</v>
      </c>
      <c r="F94" s="8">
        <v>0.83</v>
      </c>
      <c r="G94" s="9">
        <v>0.89</v>
      </c>
    </row>
    <row r="95" spans="2:7">
      <c r="B95" s="7">
        <v>0.77</v>
      </c>
      <c r="C95" s="8">
        <v>0.9</v>
      </c>
      <c r="D95" s="8">
        <v>0.94</v>
      </c>
      <c r="E95" s="8">
        <v>0.5</v>
      </c>
      <c r="F95" s="8">
        <v>0.87</v>
      </c>
      <c r="G95" s="9">
        <v>0.91</v>
      </c>
    </row>
    <row r="96" spans="2:7">
      <c r="B96" s="7">
        <v>0.77</v>
      </c>
      <c r="C96" s="8">
        <v>0.83</v>
      </c>
      <c r="D96" s="8">
        <v>0.97</v>
      </c>
      <c r="E96" s="8">
        <v>0.65</v>
      </c>
      <c r="F96" s="8">
        <v>0.84</v>
      </c>
      <c r="G96" s="9">
        <v>0.91</v>
      </c>
    </row>
    <row r="97" spans="2:10">
      <c r="B97" s="7">
        <v>0.82</v>
      </c>
      <c r="C97" s="8">
        <v>0.85</v>
      </c>
      <c r="D97" s="8">
        <v>0.83</v>
      </c>
      <c r="E97" s="8">
        <v>0.57999999999999996</v>
      </c>
      <c r="F97" s="8">
        <v>0.82</v>
      </c>
      <c r="G97" s="9">
        <v>0.96</v>
      </c>
    </row>
    <row r="98" spans="2:10">
      <c r="B98" s="7">
        <v>0.83</v>
      </c>
      <c r="C98" s="8">
        <v>0.86</v>
      </c>
      <c r="D98" s="8">
        <v>0.99</v>
      </c>
      <c r="E98" s="8">
        <v>0.53</v>
      </c>
      <c r="F98" s="8">
        <v>0.85</v>
      </c>
      <c r="G98" s="9">
        <v>0.98</v>
      </c>
    </row>
    <row r="99" spans="2:10">
      <c r="B99" s="7">
        <v>0.82</v>
      </c>
      <c r="C99" s="8">
        <v>0.85</v>
      </c>
      <c r="D99" s="8">
        <v>0.9</v>
      </c>
      <c r="E99" s="8">
        <v>0.48</v>
      </c>
      <c r="F99" s="8">
        <v>0.86</v>
      </c>
      <c r="G99" s="9">
        <v>0.91</v>
      </c>
    </row>
    <row r="100" spans="2:10">
      <c r="B100" s="7">
        <v>0.78</v>
      </c>
      <c r="C100" s="8">
        <v>0.88</v>
      </c>
      <c r="D100" s="8">
        <v>0.93</v>
      </c>
      <c r="E100" s="8">
        <v>0.56000000000000005</v>
      </c>
      <c r="F100" s="8">
        <v>0.86</v>
      </c>
      <c r="G100" s="9">
        <v>0.99</v>
      </c>
    </row>
    <row r="101" spans="2:10">
      <c r="B101" s="7">
        <v>0.76</v>
      </c>
      <c r="C101" s="8">
        <v>0.84</v>
      </c>
      <c r="D101" s="8">
        <v>0.9</v>
      </c>
      <c r="E101" s="8">
        <v>0.59</v>
      </c>
      <c r="F101" s="8">
        <v>0.91</v>
      </c>
      <c r="G101" s="9">
        <v>1</v>
      </c>
    </row>
    <row r="102" spans="2:10">
      <c r="B102" s="10">
        <v>0.72</v>
      </c>
      <c r="C102" s="11">
        <v>0.81</v>
      </c>
      <c r="D102" s="11">
        <v>0.88</v>
      </c>
      <c r="E102" s="11">
        <v>0.63</v>
      </c>
      <c r="F102" s="11">
        <v>0.86</v>
      </c>
      <c r="G102" s="12">
        <v>0.93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 ht="15" customHeight="1">
      <c r="B107" s="71" t="s">
        <v>19</v>
      </c>
      <c r="C107" s="79">
        <v>0.79169999999999996</v>
      </c>
      <c r="D107" s="79">
        <v>3.4200000000000001E-2</v>
      </c>
      <c r="E107" s="79">
        <v>0.79</v>
      </c>
      <c r="F107" s="79">
        <v>0.78500000000000003</v>
      </c>
      <c r="G107" s="79">
        <v>0.7984</v>
      </c>
      <c r="H107" s="81">
        <v>0.69</v>
      </c>
      <c r="I107" s="81">
        <v>0.88</v>
      </c>
      <c r="J107" s="72">
        <v>4.3</v>
      </c>
    </row>
    <row r="108" spans="2:10" ht="15" customHeight="1">
      <c r="B108" s="71" t="s">
        <v>20</v>
      </c>
      <c r="C108" s="79">
        <v>0.81079999999999997</v>
      </c>
      <c r="D108" s="79">
        <v>6.8599999999999994E-2</v>
      </c>
      <c r="E108" s="79">
        <v>0.81</v>
      </c>
      <c r="F108" s="79">
        <v>0.7974</v>
      </c>
      <c r="G108" s="79">
        <v>0.82420000000000004</v>
      </c>
      <c r="H108" s="81">
        <v>0.63</v>
      </c>
      <c r="I108" s="81">
        <v>0.94</v>
      </c>
      <c r="J108" s="72">
        <v>8.5</v>
      </c>
    </row>
    <row r="109" spans="2:10" ht="15" customHeight="1">
      <c r="B109" s="71" t="s">
        <v>3</v>
      </c>
      <c r="C109" s="79">
        <v>0.92379999999999995</v>
      </c>
      <c r="D109" s="79">
        <v>4.9299999999999997E-2</v>
      </c>
      <c r="E109" s="79">
        <v>0.93</v>
      </c>
      <c r="F109" s="79">
        <v>0.91410000000000002</v>
      </c>
      <c r="G109" s="79">
        <v>0.9335</v>
      </c>
      <c r="H109" s="81">
        <v>0.76</v>
      </c>
      <c r="I109" s="81">
        <v>1.03</v>
      </c>
      <c r="J109" s="72">
        <v>5.3</v>
      </c>
    </row>
    <row r="110" spans="2:10" ht="15" customHeight="1">
      <c r="B110" s="71" t="s">
        <v>21</v>
      </c>
      <c r="C110" s="79">
        <v>0.54469999999999996</v>
      </c>
      <c r="D110" s="79">
        <v>7.9000000000000001E-2</v>
      </c>
      <c r="E110" s="79">
        <v>0.55000000000000004</v>
      </c>
      <c r="F110" s="79">
        <v>0.5292</v>
      </c>
      <c r="G110" s="79">
        <v>0.56020000000000003</v>
      </c>
      <c r="H110" s="81">
        <v>0.37</v>
      </c>
      <c r="I110" s="81">
        <v>0.72</v>
      </c>
      <c r="J110" s="72">
        <v>14.5</v>
      </c>
    </row>
    <row r="111" spans="2:10" ht="15" customHeight="1">
      <c r="B111" s="71" t="s">
        <v>22</v>
      </c>
      <c r="C111" s="79">
        <v>0.88270000000000004</v>
      </c>
      <c r="D111" s="79">
        <v>3.6999999999999998E-2</v>
      </c>
      <c r="E111" s="79">
        <v>0.89</v>
      </c>
      <c r="F111" s="79">
        <v>0.87539999999999996</v>
      </c>
      <c r="G111" s="79">
        <v>0.89</v>
      </c>
      <c r="H111" s="81">
        <v>0.77</v>
      </c>
      <c r="I111" s="81">
        <v>0.96</v>
      </c>
      <c r="J111" s="72">
        <v>4.2</v>
      </c>
    </row>
    <row r="112" spans="2:10" ht="15" customHeight="1">
      <c r="B112" s="73" t="s">
        <v>6</v>
      </c>
      <c r="C112" s="80">
        <v>0.93089999999999995</v>
      </c>
      <c r="D112" s="80">
        <v>3.9199999999999999E-2</v>
      </c>
      <c r="E112" s="80">
        <v>0.93</v>
      </c>
      <c r="F112" s="80">
        <v>0.92320000000000002</v>
      </c>
      <c r="G112" s="80">
        <v>0.93859999999999999</v>
      </c>
      <c r="H112" s="82">
        <v>0.83</v>
      </c>
      <c r="I112" s="82">
        <v>1.03</v>
      </c>
      <c r="J112" s="74">
        <v>4.2</v>
      </c>
    </row>
    <row r="113" spans="2:10" ht="15" customHeight="1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 ht="15" customHeight="1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 ht="15" customHeight="1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 ht="15" customHeight="1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5" customHeight="1">
      <c r="B117" s="77">
        <v>21.593299999999999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 ht="15" customHeight="1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 ht="15" customHeight="1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 ht="15" customHeight="1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 ht="15" customHeight="1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5" customHeight="1">
      <c r="B122" s="87">
        <v>504.35890000000001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 ht="15" customHeight="1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 ht="15" customHeight="1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 ht="15" customHeight="1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 ht="15" customHeight="1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 ht="15" customHeight="1">
      <c r="B127" s="93" t="s">
        <v>19</v>
      </c>
      <c r="C127" s="95" t="s">
        <v>20</v>
      </c>
      <c r="D127" s="91">
        <v>-1.9099999999999999E-2</v>
      </c>
      <c r="E127" s="91">
        <v>7.7000000000000002E-3</v>
      </c>
      <c r="F127" s="91">
        <v>-3.4200000000000001E-2</v>
      </c>
      <c r="G127" s="91">
        <v>-4.0000000000000001E-3</v>
      </c>
      <c r="H127" s="92">
        <v>1.38E-2</v>
      </c>
      <c r="I127" s="89" t="s">
        <v>41</v>
      </c>
      <c r="J127" s="66"/>
    </row>
    <row r="128" spans="2:10" ht="15" customHeight="1">
      <c r="B128" s="71" t="s">
        <v>19</v>
      </c>
      <c r="C128" s="96" t="s">
        <v>3</v>
      </c>
      <c r="D128" s="79">
        <v>-0.1321</v>
      </c>
      <c r="E128" s="79">
        <v>6.0000000000000001E-3</v>
      </c>
      <c r="F128" s="79">
        <v>-0.1439</v>
      </c>
      <c r="G128" s="79">
        <v>-0.1203</v>
      </c>
      <c r="H128" s="88" t="s">
        <v>27</v>
      </c>
      <c r="I128" s="90" t="s">
        <v>41</v>
      </c>
      <c r="J128" s="66"/>
    </row>
    <row r="129" spans="2:10" ht="15" customHeight="1">
      <c r="B129" s="71" t="s">
        <v>19</v>
      </c>
      <c r="C129" s="96" t="s">
        <v>21</v>
      </c>
      <c r="D129" s="79">
        <v>0.247</v>
      </c>
      <c r="E129" s="79">
        <v>8.6E-3</v>
      </c>
      <c r="F129" s="79">
        <v>0.23</v>
      </c>
      <c r="G129" s="79">
        <v>0.26400000000000001</v>
      </c>
      <c r="H129" s="88" t="s">
        <v>27</v>
      </c>
      <c r="I129" s="90" t="s">
        <v>41</v>
      </c>
      <c r="J129" s="66"/>
    </row>
    <row r="130" spans="2:10" ht="15" customHeight="1">
      <c r="B130" s="71" t="s">
        <v>19</v>
      </c>
      <c r="C130" s="96" t="s">
        <v>22</v>
      </c>
      <c r="D130" s="79">
        <v>-9.0999999999999998E-2</v>
      </c>
      <c r="E130" s="79">
        <v>5.0000000000000001E-3</v>
      </c>
      <c r="F130" s="79">
        <v>-0.1009</v>
      </c>
      <c r="G130" s="79">
        <v>-8.1100000000000005E-2</v>
      </c>
      <c r="H130" s="88" t="s">
        <v>27</v>
      </c>
      <c r="I130" s="90" t="s">
        <v>41</v>
      </c>
      <c r="J130" s="66"/>
    </row>
    <row r="131" spans="2:10" ht="15" customHeight="1">
      <c r="B131" s="71" t="s">
        <v>19</v>
      </c>
      <c r="C131" s="96" t="s">
        <v>6</v>
      </c>
      <c r="D131" s="79">
        <v>-0.13919999999999999</v>
      </c>
      <c r="E131" s="79">
        <v>5.1999999999999998E-3</v>
      </c>
      <c r="F131" s="79">
        <v>-0.14949999999999999</v>
      </c>
      <c r="G131" s="79">
        <v>-0.12889999999999999</v>
      </c>
      <c r="H131" s="88" t="s">
        <v>27</v>
      </c>
      <c r="I131" s="90" t="s">
        <v>41</v>
      </c>
      <c r="J131" s="66"/>
    </row>
    <row r="132" spans="2:10" ht="15" customHeight="1">
      <c r="B132" s="71" t="s">
        <v>20</v>
      </c>
      <c r="C132" s="96" t="s">
        <v>3</v>
      </c>
      <c r="D132" s="79">
        <v>-0.113</v>
      </c>
      <c r="E132" s="79">
        <v>8.3999999999999995E-3</v>
      </c>
      <c r="F132" s="79">
        <v>-0.12970000000000001</v>
      </c>
      <c r="G132" s="79">
        <v>-9.6299999999999997E-2</v>
      </c>
      <c r="H132" s="88" t="s">
        <v>27</v>
      </c>
      <c r="I132" s="90" t="s">
        <v>41</v>
      </c>
      <c r="J132" s="66"/>
    </row>
    <row r="133" spans="2:10" ht="15" customHeight="1">
      <c r="B133" s="71" t="s">
        <v>20</v>
      </c>
      <c r="C133" s="96" t="s">
        <v>21</v>
      </c>
      <c r="D133" s="79">
        <v>0.2661</v>
      </c>
      <c r="E133" s="79">
        <v>1.0500000000000001E-2</v>
      </c>
      <c r="F133" s="79">
        <v>0.2455</v>
      </c>
      <c r="G133" s="79">
        <v>0.28670000000000001</v>
      </c>
      <c r="H133" s="88" t="s">
        <v>27</v>
      </c>
      <c r="I133" s="90" t="s">
        <v>41</v>
      </c>
      <c r="J133" s="66"/>
    </row>
    <row r="134" spans="2:10" ht="15" customHeight="1">
      <c r="B134" s="71" t="s">
        <v>20</v>
      </c>
      <c r="C134" s="96" t="s">
        <v>22</v>
      </c>
      <c r="D134" s="79">
        <v>-7.1900000000000006E-2</v>
      </c>
      <c r="E134" s="79">
        <v>7.7999999999999996E-3</v>
      </c>
      <c r="F134" s="79">
        <v>-8.7300000000000003E-2</v>
      </c>
      <c r="G134" s="79">
        <v>-5.6500000000000002E-2</v>
      </c>
      <c r="H134" s="88" t="s">
        <v>27</v>
      </c>
      <c r="I134" s="90" t="s">
        <v>41</v>
      </c>
      <c r="J134" s="66"/>
    </row>
    <row r="135" spans="2:10" ht="15" customHeight="1">
      <c r="B135" s="71" t="s">
        <v>20</v>
      </c>
      <c r="C135" s="96" t="s">
        <v>6</v>
      </c>
      <c r="D135" s="79">
        <v>-0.1201</v>
      </c>
      <c r="E135" s="79">
        <v>7.9000000000000008E-3</v>
      </c>
      <c r="F135" s="79">
        <v>-0.13569999999999999</v>
      </c>
      <c r="G135" s="79">
        <v>-0.1045</v>
      </c>
      <c r="H135" s="88" t="s">
        <v>27</v>
      </c>
      <c r="I135" s="90" t="s">
        <v>41</v>
      </c>
      <c r="J135" s="66"/>
    </row>
    <row r="136" spans="2:10" ht="15" customHeight="1">
      <c r="B136" s="71" t="s">
        <v>3</v>
      </c>
      <c r="C136" s="96" t="s">
        <v>21</v>
      </c>
      <c r="D136" s="79">
        <v>0.37909999999999999</v>
      </c>
      <c r="E136" s="79">
        <v>9.2999999999999992E-3</v>
      </c>
      <c r="F136" s="79">
        <v>0.36070000000000002</v>
      </c>
      <c r="G136" s="79">
        <v>0.39750000000000002</v>
      </c>
      <c r="H136" s="88" t="s">
        <v>27</v>
      </c>
      <c r="I136" s="90" t="s">
        <v>41</v>
      </c>
      <c r="J136" s="66"/>
    </row>
    <row r="137" spans="2:10" ht="15" customHeight="1">
      <c r="B137" s="71" t="s">
        <v>3</v>
      </c>
      <c r="C137" s="96" t="s">
        <v>22</v>
      </c>
      <c r="D137" s="79">
        <v>4.1099999999999998E-2</v>
      </c>
      <c r="E137" s="79">
        <v>6.1999999999999998E-3</v>
      </c>
      <c r="F137" s="79">
        <v>2.8899999999999999E-2</v>
      </c>
      <c r="G137" s="79">
        <v>5.33E-2</v>
      </c>
      <c r="H137" s="88" t="s">
        <v>27</v>
      </c>
      <c r="I137" s="90" t="s">
        <v>41</v>
      </c>
      <c r="J137" s="66"/>
    </row>
    <row r="138" spans="2:10" ht="15" customHeight="1">
      <c r="B138" s="71" t="s">
        <v>3</v>
      </c>
      <c r="C138" s="96" t="s">
        <v>6</v>
      </c>
      <c r="D138" s="79">
        <v>-7.1000000000000004E-3</v>
      </c>
      <c r="E138" s="79">
        <v>6.3E-3</v>
      </c>
      <c r="F138" s="79">
        <v>-1.95E-2</v>
      </c>
      <c r="G138" s="79">
        <v>5.3E-3</v>
      </c>
      <c r="H138" s="97">
        <v>0.26069999999999999</v>
      </c>
      <c r="I138" s="90" t="s">
        <v>40</v>
      </c>
      <c r="J138" s="66"/>
    </row>
    <row r="139" spans="2:10" ht="15" customHeight="1">
      <c r="B139" s="71" t="s">
        <v>21</v>
      </c>
      <c r="C139" s="96" t="s">
        <v>22</v>
      </c>
      <c r="D139" s="79">
        <v>-0.33800000000000002</v>
      </c>
      <c r="E139" s="79">
        <v>8.6999999999999994E-3</v>
      </c>
      <c r="F139" s="79">
        <v>-0.35520000000000002</v>
      </c>
      <c r="G139" s="79">
        <v>-0.32079999999999997</v>
      </c>
      <c r="H139" s="88" t="s">
        <v>27</v>
      </c>
      <c r="I139" s="90" t="s">
        <v>41</v>
      </c>
      <c r="J139" s="66"/>
    </row>
    <row r="140" spans="2:10" ht="15" customHeight="1">
      <c r="B140" s="71" t="s">
        <v>21</v>
      </c>
      <c r="C140" s="96" t="s">
        <v>6</v>
      </c>
      <c r="D140" s="79">
        <v>-0.38619999999999999</v>
      </c>
      <c r="E140" s="79">
        <v>8.8000000000000005E-3</v>
      </c>
      <c r="F140" s="79">
        <v>-0.40360000000000001</v>
      </c>
      <c r="G140" s="79">
        <v>-0.36880000000000002</v>
      </c>
      <c r="H140" s="88" t="s">
        <v>27</v>
      </c>
      <c r="I140" s="90" t="s">
        <v>41</v>
      </c>
      <c r="J140" s="66"/>
    </row>
    <row r="141" spans="2:10" ht="15" customHeight="1">
      <c r="B141" s="73" t="s">
        <v>22</v>
      </c>
      <c r="C141" s="94" t="s">
        <v>6</v>
      </c>
      <c r="D141" s="80">
        <v>-4.82E-2</v>
      </c>
      <c r="E141" s="80">
        <v>5.4000000000000003E-3</v>
      </c>
      <c r="F141" s="80">
        <v>-5.8799999999999998E-2</v>
      </c>
      <c r="G141" s="80">
        <v>-3.7600000000000001E-2</v>
      </c>
      <c r="H141" s="84" t="s">
        <v>27</v>
      </c>
      <c r="I141" s="85" t="s">
        <v>41</v>
      </c>
      <c r="J141" s="66"/>
    </row>
    <row r="142" spans="2:10" ht="15" customHeight="1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 ht="15" customHeight="1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05:J105"/>
    <mergeCell ref="B115:D115"/>
    <mergeCell ref="B120:F120"/>
    <mergeCell ref="B125:I125"/>
    <mergeCell ref="B1:G1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5"/>
  <sheetViews>
    <sheetView topLeftCell="A141" workbookViewId="0">
      <selection activeCell="A144" sqref="A144:XFD160"/>
    </sheetView>
  </sheetViews>
  <sheetFormatPr defaultColWidth="12.5703125" defaultRowHeight="15" customHeight="1"/>
  <cols>
    <col min="2" max="2" width="35.85546875" bestFit="1" customWidth="1"/>
    <col min="4" max="4" width="15.85546875" bestFit="1" customWidth="1"/>
    <col min="6" max="6" width="13.85546875" bestFit="1" customWidth="1"/>
    <col min="7" max="7" width="15.140625" bestFit="1" customWidth="1"/>
    <col min="11" max="26" width="12.5703125" style="13"/>
  </cols>
  <sheetData>
    <row r="1" spans="1:27">
      <c r="A1" s="14"/>
      <c r="B1" s="56" t="s">
        <v>43</v>
      </c>
      <c r="C1" s="54"/>
      <c r="D1" s="54"/>
      <c r="E1" s="54"/>
      <c r="F1" s="54"/>
      <c r="G1" s="55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 spans="1:27">
      <c r="A2" s="15"/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 spans="1:27">
      <c r="A3" s="8"/>
      <c r="B3" s="4">
        <v>9.02</v>
      </c>
      <c r="C3" s="4">
        <v>6.12</v>
      </c>
      <c r="D3" s="4">
        <v>9.01</v>
      </c>
      <c r="E3" s="4">
        <v>1.52</v>
      </c>
      <c r="F3" s="16">
        <v>7.57</v>
      </c>
      <c r="G3" s="6">
        <v>9.02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 spans="1:27">
      <c r="A4" s="8"/>
      <c r="B4" s="7">
        <v>7.82</v>
      </c>
      <c r="C4" s="7">
        <v>5.99</v>
      </c>
      <c r="D4" s="7">
        <v>9.02</v>
      </c>
      <c r="E4" s="7">
        <v>1.05</v>
      </c>
      <c r="F4" s="17">
        <v>9.02</v>
      </c>
      <c r="G4" s="9">
        <v>9.02</v>
      </c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>
      <c r="A5" s="8"/>
      <c r="B5" s="7">
        <v>9.01</v>
      </c>
      <c r="C5" s="7">
        <v>4.2300000000000004</v>
      </c>
      <c r="D5" s="7">
        <v>9</v>
      </c>
      <c r="E5" s="7">
        <v>7.36</v>
      </c>
      <c r="F5" s="17">
        <v>9.0500000000000007</v>
      </c>
      <c r="G5" s="9">
        <v>9</v>
      </c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 spans="1:27">
      <c r="A6" s="8"/>
      <c r="B6" s="7">
        <v>7.92</v>
      </c>
      <c r="C6" s="7">
        <v>9.0299999999999994</v>
      </c>
      <c r="D6" s="7">
        <v>9</v>
      </c>
      <c r="E6" s="7">
        <v>8.31</v>
      </c>
      <c r="F6" s="17">
        <v>9.02</v>
      </c>
      <c r="G6" s="9">
        <v>9.01</v>
      </c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1:27">
      <c r="A7" s="8"/>
      <c r="B7" s="7">
        <v>9.02</v>
      </c>
      <c r="C7" s="7">
        <v>9</v>
      </c>
      <c r="D7" s="7">
        <v>9.02</v>
      </c>
      <c r="E7" s="7">
        <v>1.04</v>
      </c>
      <c r="F7" s="17">
        <v>7.63</v>
      </c>
      <c r="G7" s="9">
        <v>4.9000000000000004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 spans="1:27">
      <c r="A8" s="8"/>
      <c r="B8" s="7">
        <v>8.8000000000000007</v>
      </c>
      <c r="C8" s="7">
        <v>9.01</v>
      </c>
      <c r="D8" s="7">
        <v>9.01</v>
      </c>
      <c r="E8" s="7">
        <v>7.8</v>
      </c>
      <c r="F8" s="17">
        <v>9.02</v>
      </c>
      <c r="G8" s="9">
        <v>9</v>
      </c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1:27">
      <c r="A9" s="8"/>
      <c r="B9" s="7">
        <v>6.62</v>
      </c>
      <c r="C9" s="7">
        <v>1.4</v>
      </c>
      <c r="D9" s="7">
        <v>9.01</v>
      </c>
      <c r="E9" s="7">
        <v>1.1299999999999999</v>
      </c>
      <c r="F9" s="17">
        <v>6.16</v>
      </c>
      <c r="G9" s="9">
        <v>8.0500000000000007</v>
      </c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 spans="1:27">
      <c r="A10" s="8"/>
      <c r="B10" s="7">
        <v>8.07</v>
      </c>
      <c r="C10" s="7">
        <v>5.42</v>
      </c>
      <c r="D10" s="7">
        <v>9</v>
      </c>
      <c r="E10" s="7">
        <v>9</v>
      </c>
      <c r="F10" s="17">
        <v>5.94</v>
      </c>
      <c r="G10" s="9">
        <v>9.01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1:27">
      <c r="A11" s="8"/>
      <c r="B11" s="7">
        <v>5.71</v>
      </c>
      <c r="C11" s="7">
        <v>6.3</v>
      </c>
      <c r="D11" s="7">
        <v>9.02</v>
      </c>
      <c r="E11" s="7">
        <v>6.58</v>
      </c>
      <c r="F11" s="17">
        <v>8.11</v>
      </c>
      <c r="G11" s="9">
        <v>9.01</v>
      </c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 spans="1:27">
      <c r="A12" s="8"/>
      <c r="B12" s="7">
        <v>5.91</v>
      </c>
      <c r="C12" s="7">
        <v>4.6900000000000004</v>
      </c>
      <c r="D12" s="7">
        <v>0.55000000000000004</v>
      </c>
      <c r="E12" s="7">
        <v>9.01</v>
      </c>
      <c r="F12" s="17">
        <v>9.01</v>
      </c>
      <c r="G12" s="9">
        <v>9.02</v>
      </c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1:27">
      <c r="A13" s="8"/>
      <c r="B13" s="7">
        <v>9.0299999999999994</v>
      </c>
      <c r="C13" s="7">
        <v>5.6</v>
      </c>
      <c r="D13" s="7">
        <v>9.01</v>
      </c>
      <c r="E13" s="7">
        <v>1.35</v>
      </c>
      <c r="F13" s="17">
        <v>9.0299999999999994</v>
      </c>
      <c r="G13" s="9">
        <v>8.76</v>
      </c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 spans="1:27">
      <c r="A14" s="8"/>
      <c r="B14" s="7">
        <v>9.01</v>
      </c>
      <c r="C14" s="7">
        <v>6.77</v>
      </c>
      <c r="D14" s="7">
        <v>9.01</v>
      </c>
      <c r="E14" s="7">
        <v>1</v>
      </c>
      <c r="F14" s="17">
        <v>9.0500000000000007</v>
      </c>
      <c r="G14" s="9">
        <v>9.02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1:27">
      <c r="A15" s="8"/>
      <c r="B15" s="7">
        <v>3.4</v>
      </c>
      <c r="C15" s="7">
        <v>9.02</v>
      </c>
      <c r="D15" s="7">
        <v>9.0299999999999994</v>
      </c>
      <c r="E15" s="7">
        <v>1.77</v>
      </c>
      <c r="F15" s="17">
        <v>9.01</v>
      </c>
      <c r="G15" s="9">
        <v>9.02</v>
      </c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 spans="1:27">
      <c r="A16" s="8"/>
      <c r="B16" s="7">
        <v>3.74</v>
      </c>
      <c r="C16" s="7">
        <v>7.84</v>
      </c>
      <c r="D16" s="7">
        <v>8.77</v>
      </c>
      <c r="E16" s="7">
        <v>3.3</v>
      </c>
      <c r="F16" s="17">
        <v>9.01</v>
      </c>
      <c r="G16" s="9">
        <v>9.02</v>
      </c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1:27">
      <c r="A17" s="8"/>
      <c r="B17" s="7">
        <v>9.02</v>
      </c>
      <c r="C17" s="7">
        <v>6.53</v>
      </c>
      <c r="D17" s="7">
        <v>9.02</v>
      </c>
      <c r="E17" s="7">
        <v>8.57</v>
      </c>
      <c r="F17" s="17">
        <v>8.39</v>
      </c>
      <c r="G17" s="9">
        <v>9.0299999999999994</v>
      </c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 spans="1:27">
      <c r="A18" s="8"/>
      <c r="B18" s="7">
        <v>9.02</v>
      </c>
      <c r="C18" s="7">
        <v>9.01</v>
      </c>
      <c r="D18" s="7">
        <v>2.66</v>
      </c>
      <c r="E18" s="7">
        <v>8.2200000000000006</v>
      </c>
      <c r="F18" s="17">
        <v>7.81</v>
      </c>
      <c r="G18" s="9">
        <v>9.01</v>
      </c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>
      <c r="A19" s="8"/>
      <c r="B19" s="7">
        <v>1.42</v>
      </c>
      <c r="C19" s="7">
        <v>8.9</v>
      </c>
      <c r="D19" s="7">
        <v>8.7200000000000006</v>
      </c>
      <c r="E19" s="7">
        <v>8.76</v>
      </c>
      <c r="F19" s="17">
        <v>9.01</v>
      </c>
      <c r="G19" s="9">
        <v>9.01</v>
      </c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 spans="1:27">
      <c r="A20" s="8"/>
      <c r="B20" s="7">
        <v>4.59</v>
      </c>
      <c r="C20" s="7">
        <v>5.9</v>
      </c>
      <c r="D20" s="7">
        <v>9</v>
      </c>
      <c r="E20" s="7">
        <v>2.81</v>
      </c>
      <c r="F20" s="17">
        <v>9.01</v>
      </c>
      <c r="G20" s="9">
        <v>9.0299999999999994</v>
      </c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1:27">
      <c r="A21" s="8"/>
      <c r="B21" s="7">
        <v>3.95</v>
      </c>
      <c r="C21" s="7">
        <v>5.92</v>
      </c>
      <c r="D21" s="7">
        <v>9.01</v>
      </c>
      <c r="E21" s="7">
        <v>0.87</v>
      </c>
      <c r="F21" s="17">
        <v>9.02</v>
      </c>
      <c r="G21" s="9">
        <v>9.01</v>
      </c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 spans="1:27">
      <c r="A22" s="8"/>
      <c r="B22" s="7">
        <v>4.63</v>
      </c>
      <c r="C22" s="7">
        <v>5.03</v>
      </c>
      <c r="D22" s="7">
        <v>9.0299999999999994</v>
      </c>
      <c r="E22" s="7">
        <v>8.81</v>
      </c>
      <c r="F22" s="17">
        <v>9.0299999999999994</v>
      </c>
      <c r="G22" s="9">
        <v>9.01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1:27">
      <c r="A23" s="8"/>
      <c r="B23" s="7">
        <v>8.57</v>
      </c>
      <c r="C23" s="7">
        <v>-0.21</v>
      </c>
      <c r="D23" s="7">
        <v>0.28999999999999998</v>
      </c>
      <c r="E23" s="7">
        <v>1.38</v>
      </c>
      <c r="F23" s="17">
        <v>9.0399999999999991</v>
      </c>
      <c r="G23" s="9">
        <v>7.32</v>
      </c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 spans="1:27">
      <c r="A24" s="8"/>
      <c r="B24" s="7">
        <v>9.01</v>
      </c>
      <c r="C24" s="7">
        <v>8.6300000000000008</v>
      </c>
      <c r="D24" s="7">
        <v>9.02</v>
      </c>
      <c r="E24" s="7">
        <v>1.53</v>
      </c>
      <c r="F24" s="17">
        <v>7.92</v>
      </c>
      <c r="G24" s="9">
        <v>9.02</v>
      </c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>
      <c r="A25" s="8"/>
      <c r="B25" s="7">
        <v>1.03</v>
      </c>
      <c r="C25" s="7">
        <v>9.01</v>
      </c>
      <c r="D25" s="7">
        <v>9.02</v>
      </c>
      <c r="E25" s="7">
        <v>8.19</v>
      </c>
      <c r="F25" s="17">
        <v>6.06</v>
      </c>
      <c r="G25" s="9">
        <v>9.0399999999999991</v>
      </c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 spans="1:27">
      <c r="A26" s="8"/>
      <c r="B26" s="7">
        <v>8.68</v>
      </c>
      <c r="C26" s="7">
        <v>0.02</v>
      </c>
      <c r="D26" s="7">
        <v>8.16</v>
      </c>
      <c r="E26" s="7">
        <v>8.33</v>
      </c>
      <c r="F26" s="17">
        <v>9.0299999999999994</v>
      </c>
      <c r="G26" s="9">
        <v>9</v>
      </c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1:27">
      <c r="A27" s="8"/>
      <c r="B27" s="7">
        <v>8.6300000000000008</v>
      </c>
      <c r="C27" s="7">
        <v>1.64</v>
      </c>
      <c r="D27" s="7">
        <v>9.01</v>
      </c>
      <c r="E27" s="7">
        <v>1.59</v>
      </c>
      <c r="F27" s="17">
        <v>9</v>
      </c>
      <c r="G27" s="9">
        <v>9.01</v>
      </c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 spans="1:27">
      <c r="A28" s="8"/>
      <c r="B28" s="7">
        <v>6.61</v>
      </c>
      <c r="C28" s="7">
        <v>8.6199999999999992</v>
      </c>
      <c r="D28" s="7">
        <v>9.0299999999999994</v>
      </c>
      <c r="E28" s="7">
        <v>2.06</v>
      </c>
      <c r="F28" s="17">
        <v>9.02</v>
      </c>
      <c r="G28" s="9">
        <v>9</v>
      </c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1:27">
      <c r="A29" s="8"/>
      <c r="B29" s="7">
        <v>6.23</v>
      </c>
      <c r="C29" s="7">
        <v>6</v>
      </c>
      <c r="D29" s="7">
        <v>9.01</v>
      </c>
      <c r="E29" s="7">
        <v>9.01</v>
      </c>
      <c r="F29" s="17">
        <v>1.94</v>
      </c>
      <c r="G29" s="9">
        <v>9.02</v>
      </c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 spans="1:27">
      <c r="A30" s="8"/>
      <c r="B30" s="7">
        <v>9.01</v>
      </c>
      <c r="C30" s="7">
        <v>6.12</v>
      </c>
      <c r="D30" s="7">
        <v>9.02</v>
      </c>
      <c r="E30" s="7">
        <v>2.1</v>
      </c>
      <c r="F30" s="17">
        <v>9.02</v>
      </c>
      <c r="G30" s="9">
        <v>9.0299999999999994</v>
      </c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1:27">
      <c r="A31" s="8"/>
      <c r="B31" s="7">
        <v>9.02</v>
      </c>
      <c r="C31" s="7">
        <v>5.74</v>
      </c>
      <c r="D31" s="7">
        <v>9.0299999999999994</v>
      </c>
      <c r="E31" s="7">
        <v>0.81</v>
      </c>
      <c r="F31" s="17">
        <v>9</v>
      </c>
      <c r="G31" s="9">
        <v>4.95</v>
      </c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 spans="1:27">
      <c r="A32" s="8"/>
      <c r="B32" s="7">
        <v>6.21</v>
      </c>
      <c r="C32" s="7">
        <v>8.02</v>
      </c>
      <c r="D32" s="7">
        <v>9.02</v>
      </c>
      <c r="E32" s="7">
        <v>8.76</v>
      </c>
      <c r="F32" s="17">
        <v>9.01</v>
      </c>
      <c r="G32" s="9">
        <v>9.01</v>
      </c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1:27">
      <c r="A33" s="8"/>
      <c r="B33" s="7">
        <v>3.8</v>
      </c>
      <c r="C33" s="7">
        <v>5.16</v>
      </c>
      <c r="D33" s="7">
        <v>8.85</v>
      </c>
      <c r="E33" s="7">
        <v>0.38</v>
      </c>
      <c r="F33" s="17">
        <v>9.02</v>
      </c>
      <c r="G33" s="9">
        <v>9</v>
      </c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 spans="1:27">
      <c r="A34" s="8"/>
      <c r="B34" s="7">
        <v>5.19</v>
      </c>
      <c r="C34" s="7">
        <v>6.96</v>
      </c>
      <c r="D34" s="7">
        <v>9.0299999999999994</v>
      </c>
      <c r="E34" s="7">
        <v>1.05</v>
      </c>
      <c r="F34" s="17">
        <v>9.0399999999999991</v>
      </c>
      <c r="G34" s="9">
        <v>9.0399999999999991</v>
      </c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1:27">
      <c r="A35" s="8"/>
      <c r="B35" s="7">
        <v>9.0299999999999994</v>
      </c>
      <c r="C35" s="7">
        <v>4.6900000000000004</v>
      </c>
      <c r="D35" s="7">
        <v>8.8800000000000008</v>
      </c>
      <c r="E35" s="7">
        <v>8.8800000000000008</v>
      </c>
      <c r="F35" s="17">
        <v>9.0399999999999991</v>
      </c>
      <c r="G35" s="9">
        <v>9</v>
      </c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 spans="1:27">
      <c r="A36" s="8"/>
      <c r="B36" s="7">
        <v>9.02</v>
      </c>
      <c r="C36" s="7">
        <v>9.01</v>
      </c>
      <c r="D36" s="7">
        <v>9.01</v>
      </c>
      <c r="E36" s="7">
        <v>9.0299999999999994</v>
      </c>
      <c r="F36" s="17">
        <v>9.02</v>
      </c>
      <c r="G36" s="9">
        <v>5.77</v>
      </c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1:27">
      <c r="A37" s="8"/>
      <c r="B37" s="7">
        <v>6.66</v>
      </c>
      <c r="C37" s="7">
        <v>9.0299999999999994</v>
      </c>
      <c r="D37" s="7">
        <v>9.01</v>
      </c>
      <c r="E37" s="7">
        <v>1.5</v>
      </c>
      <c r="F37" s="17">
        <v>9.0299999999999994</v>
      </c>
      <c r="G37" s="9">
        <v>9.0399999999999991</v>
      </c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 spans="1:27">
      <c r="A38" s="8"/>
      <c r="B38" s="7">
        <v>9.0299999999999994</v>
      </c>
      <c r="C38" s="7">
        <v>8.92</v>
      </c>
      <c r="D38" s="7">
        <v>9.01</v>
      </c>
      <c r="E38" s="7">
        <v>2.79</v>
      </c>
      <c r="F38" s="17">
        <v>9</v>
      </c>
      <c r="G38" s="9">
        <v>9</v>
      </c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1:27">
      <c r="A39" s="8"/>
      <c r="B39" s="7">
        <v>9.02</v>
      </c>
      <c r="C39" s="7">
        <v>6.79</v>
      </c>
      <c r="D39" s="7">
        <v>9.01</v>
      </c>
      <c r="E39" s="7">
        <v>1.01</v>
      </c>
      <c r="F39" s="17">
        <v>9</v>
      </c>
      <c r="G39" s="9">
        <v>9.0299999999999994</v>
      </c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 spans="1:27">
      <c r="A40" s="8"/>
      <c r="B40" s="7">
        <v>9.01</v>
      </c>
      <c r="C40" s="7">
        <v>0.76</v>
      </c>
      <c r="D40" s="7">
        <v>8.34</v>
      </c>
      <c r="E40" s="7">
        <v>1.1100000000000001</v>
      </c>
      <c r="F40" s="17">
        <v>9.0399999999999991</v>
      </c>
      <c r="G40" s="9">
        <v>9.01</v>
      </c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1:27">
      <c r="A41" s="8"/>
      <c r="B41" s="7">
        <v>8.2899999999999991</v>
      </c>
      <c r="C41" s="7">
        <v>5.86</v>
      </c>
      <c r="D41" s="7">
        <v>9.01</v>
      </c>
      <c r="E41" s="7">
        <v>8.0500000000000007</v>
      </c>
      <c r="F41" s="17">
        <v>8.8800000000000008</v>
      </c>
      <c r="G41" s="9">
        <v>7.58</v>
      </c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 spans="1:27">
      <c r="A42" s="8"/>
      <c r="B42" s="7">
        <v>7.35</v>
      </c>
      <c r="C42" s="7">
        <v>-0.13</v>
      </c>
      <c r="D42" s="7">
        <v>9.0399999999999991</v>
      </c>
      <c r="E42" s="7">
        <v>0.77</v>
      </c>
      <c r="F42" s="17">
        <v>9.01</v>
      </c>
      <c r="G42" s="9">
        <v>9.01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1:27">
      <c r="A43" s="8"/>
      <c r="B43" s="7">
        <v>9.01</v>
      </c>
      <c r="C43" s="7">
        <v>9.02</v>
      </c>
      <c r="D43" s="7">
        <v>9.02</v>
      </c>
      <c r="E43" s="7">
        <v>1.1299999999999999</v>
      </c>
      <c r="F43" s="17">
        <v>4.53</v>
      </c>
      <c r="G43" s="9">
        <v>9.0399999999999991</v>
      </c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 spans="1:27">
      <c r="A44" s="8"/>
      <c r="B44" s="7">
        <v>8.9499999999999993</v>
      </c>
      <c r="C44" s="7">
        <v>6.5</v>
      </c>
      <c r="D44" s="7">
        <v>8.11</v>
      </c>
      <c r="E44" s="7">
        <v>0.59</v>
      </c>
      <c r="F44" s="17">
        <v>6.66</v>
      </c>
      <c r="G44" s="9">
        <v>9.0399999999999991</v>
      </c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1:27">
      <c r="A45" s="8"/>
      <c r="B45" s="7">
        <v>5.35</v>
      </c>
      <c r="C45" s="7">
        <v>9.01</v>
      </c>
      <c r="D45" s="7">
        <v>9.01</v>
      </c>
      <c r="E45" s="7">
        <v>1.25</v>
      </c>
      <c r="F45" s="17">
        <v>9.01</v>
      </c>
      <c r="G45" s="9">
        <v>9.0299999999999994</v>
      </c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 spans="1:27">
      <c r="A46" s="8"/>
      <c r="B46" s="7">
        <v>7.85</v>
      </c>
      <c r="C46" s="7">
        <v>4.1900000000000004</v>
      </c>
      <c r="D46" s="7">
        <v>9.0299999999999994</v>
      </c>
      <c r="E46" s="7">
        <v>0.7</v>
      </c>
      <c r="F46" s="17">
        <v>9</v>
      </c>
      <c r="G46" s="9">
        <v>9.01</v>
      </c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1:27">
      <c r="A47" s="8"/>
      <c r="B47" s="7">
        <v>9.01</v>
      </c>
      <c r="C47" s="7">
        <v>0.43</v>
      </c>
      <c r="D47" s="7">
        <v>9</v>
      </c>
      <c r="E47" s="7">
        <v>0.74</v>
      </c>
      <c r="F47" s="17">
        <v>9.02</v>
      </c>
      <c r="G47" s="9">
        <v>9.01</v>
      </c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 spans="1:27">
      <c r="A48" s="8"/>
      <c r="B48" s="7">
        <v>9.0299999999999994</v>
      </c>
      <c r="C48" s="7">
        <v>5.91</v>
      </c>
      <c r="D48" s="7">
        <v>9</v>
      </c>
      <c r="E48" s="7">
        <v>0.87</v>
      </c>
      <c r="F48" s="17">
        <v>9.02</v>
      </c>
      <c r="G48" s="9">
        <v>4.42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1:27">
      <c r="A49" s="8"/>
      <c r="B49" s="7">
        <v>5.25</v>
      </c>
      <c r="C49" s="7">
        <v>0.26</v>
      </c>
      <c r="D49" s="7">
        <v>9.02</v>
      </c>
      <c r="E49" s="7">
        <v>2.0299999999999998</v>
      </c>
      <c r="F49" s="17">
        <v>9.0299999999999994</v>
      </c>
      <c r="G49" s="9">
        <v>9.01</v>
      </c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 spans="1:27">
      <c r="A50" s="8"/>
      <c r="B50" s="7">
        <v>9.01</v>
      </c>
      <c r="C50" s="7">
        <v>9.0299999999999994</v>
      </c>
      <c r="D50" s="7">
        <v>9.02</v>
      </c>
      <c r="E50" s="7">
        <v>0.76</v>
      </c>
      <c r="F50" s="17">
        <v>9.0299999999999994</v>
      </c>
      <c r="G50" s="9">
        <v>8.89</v>
      </c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1:27">
      <c r="A51" s="8"/>
      <c r="B51" s="7">
        <v>9</v>
      </c>
      <c r="C51" s="7">
        <v>9.02</v>
      </c>
      <c r="D51" s="7">
        <v>8.52</v>
      </c>
      <c r="E51" s="7">
        <v>2.13</v>
      </c>
      <c r="F51" s="17">
        <v>9.01</v>
      </c>
      <c r="G51" s="9">
        <v>9.01</v>
      </c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>
      <c r="A52" s="8"/>
      <c r="B52" s="7">
        <v>9.01</v>
      </c>
      <c r="C52" s="7">
        <v>0.01</v>
      </c>
      <c r="D52" s="7">
        <v>9.0299999999999994</v>
      </c>
      <c r="E52" s="7">
        <v>2.62</v>
      </c>
      <c r="F52" s="17">
        <v>9.01</v>
      </c>
      <c r="G52" s="9">
        <v>9.0299999999999994</v>
      </c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1:27">
      <c r="A53" s="8"/>
      <c r="B53" s="7">
        <v>9.01</v>
      </c>
      <c r="C53" s="7">
        <v>6.81</v>
      </c>
      <c r="D53" s="7">
        <v>8.51</v>
      </c>
      <c r="E53" s="7">
        <v>1.22</v>
      </c>
      <c r="F53" s="17">
        <v>9.01</v>
      </c>
      <c r="G53" s="9">
        <v>9.01</v>
      </c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 spans="1:27">
      <c r="A54" s="8"/>
      <c r="B54" s="7">
        <v>5.39</v>
      </c>
      <c r="C54" s="7">
        <v>4.1500000000000004</v>
      </c>
      <c r="D54" s="7">
        <v>5.4</v>
      </c>
      <c r="E54" s="7">
        <v>6.73</v>
      </c>
      <c r="F54" s="17">
        <v>9.0399999999999991</v>
      </c>
      <c r="G54" s="9">
        <v>8.84</v>
      </c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1:27">
      <c r="A55" s="8"/>
      <c r="B55" s="7">
        <v>9.01</v>
      </c>
      <c r="C55" s="7">
        <v>5.14</v>
      </c>
      <c r="D55" s="7">
        <v>9.02</v>
      </c>
      <c r="E55" s="7">
        <v>6.71</v>
      </c>
      <c r="F55" s="17">
        <v>9</v>
      </c>
      <c r="G55" s="9">
        <v>9.02</v>
      </c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 spans="1:27">
      <c r="A56" s="8"/>
      <c r="B56" s="7">
        <v>9.01</v>
      </c>
      <c r="C56" s="7">
        <v>0.34</v>
      </c>
      <c r="D56" s="7">
        <v>9.02</v>
      </c>
      <c r="E56" s="7">
        <v>0.42</v>
      </c>
      <c r="F56" s="17">
        <v>9.01</v>
      </c>
      <c r="G56" s="9">
        <v>9</v>
      </c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1:27">
      <c r="A57" s="8"/>
      <c r="B57" s="7">
        <v>4.83</v>
      </c>
      <c r="C57" s="7">
        <v>7.41</v>
      </c>
      <c r="D57" s="7">
        <v>9.02</v>
      </c>
      <c r="E57" s="7">
        <v>2.29</v>
      </c>
      <c r="F57" s="17">
        <v>8.66</v>
      </c>
      <c r="G57" s="9">
        <v>6.7</v>
      </c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 spans="1:27">
      <c r="A58" s="8"/>
      <c r="B58" s="7">
        <v>6.95</v>
      </c>
      <c r="C58" s="7">
        <v>5.86</v>
      </c>
      <c r="D58" s="7">
        <v>7.55</v>
      </c>
      <c r="E58" s="7">
        <v>1.02</v>
      </c>
      <c r="F58" s="17">
        <v>9.0299999999999994</v>
      </c>
      <c r="G58" s="9">
        <v>9.0299999999999994</v>
      </c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>
      <c r="A59" s="8"/>
      <c r="B59" s="7">
        <v>5.36</v>
      </c>
      <c r="C59" s="7">
        <v>3.37</v>
      </c>
      <c r="D59" s="7">
        <v>9.0299999999999994</v>
      </c>
      <c r="E59" s="7">
        <v>0.61</v>
      </c>
      <c r="F59" s="17">
        <v>8.84</v>
      </c>
      <c r="G59" s="9">
        <v>9.02</v>
      </c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</row>
    <row r="60" spans="1:27">
      <c r="A60" s="8"/>
      <c r="B60" s="7">
        <v>5.34</v>
      </c>
      <c r="C60" s="7">
        <v>6.85</v>
      </c>
      <c r="D60" s="7">
        <v>9</v>
      </c>
      <c r="E60" s="7">
        <v>7.01</v>
      </c>
      <c r="F60" s="17">
        <v>9.0299999999999994</v>
      </c>
      <c r="G60" s="9">
        <v>9</v>
      </c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>
      <c r="A61" s="8"/>
      <c r="B61" s="7">
        <v>9</v>
      </c>
      <c r="C61" s="7">
        <v>0.55000000000000004</v>
      </c>
      <c r="D61" s="7">
        <v>9</v>
      </c>
      <c r="E61" s="7">
        <v>5.79</v>
      </c>
      <c r="F61" s="17">
        <v>9.02</v>
      </c>
      <c r="G61" s="9">
        <v>9.02</v>
      </c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 spans="1:27">
      <c r="A62" s="8"/>
      <c r="B62" s="7">
        <v>9.01</v>
      </c>
      <c r="C62" s="7">
        <v>9.01</v>
      </c>
      <c r="D62" s="7">
        <v>9.0399999999999991</v>
      </c>
      <c r="E62" s="7">
        <v>1.63</v>
      </c>
      <c r="F62" s="17">
        <v>9</v>
      </c>
      <c r="G62" s="9">
        <v>9.02</v>
      </c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1:27">
      <c r="A63" s="8"/>
      <c r="B63" s="7">
        <v>9.0299999999999994</v>
      </c>
      <c r="C63" s="7">
        <v>5.17</v>
      </c>
      <c r="D63" s="7">
        <v>9.02</v>
      </c>
      <c r="E63" s="7">
        <v>0.95</v>
      </c>
      <c r="F63" s="17">
        <v>9.02</v>
      </c>
      <c r="G63" s="9">
        <v>9.0299999999999994</v>
      </c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</row>
    <row r="64" spans="1:27">
      <c r="A64" s="8"/>
      <c r="B64" s="7">
        <v>9.02</v>
      </c>
      <c r="C64" s="7">
        <v>9.0399999999999991</v>
      </c>
      <c r="D64" s="7">
        <v>8.9499999999999993</v>
      </c>
      <c r="E64" s="7">
        <v>3.5</v>
      </c>
      <c r="F64" s="17">
        <v>9</v>
      </c>
      <c r="G64" s="9">
        <v>9.01</v>
      </c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spans="1:27">
      <c r="A65" s="8"/>
      <c r="B65" s="7">
        <v>1.82</v>
      </c>
      <c r="C65" s="7">
        <v>5.48</v>
      </c>
      <c r="D65" s="7">
        <v>6.92</v>
      </c>
      <c r="E65" s="7">
        <v>8.0399999999999991</v>
      </c>
      <c r="F65" s="17">
        <v>9.0299999999999994</v>
      </c>
      <c r="G65" s="9">
        <v>9.0299999999999994</v>
      </c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</row>
    <row r="66" spans="1:27">
      <c r="A66" s="8"/>
      <c r="B66" s="7">
        <v>9.01</v>
      </c>
      <c r="C66" s="7">
        <v>8.0399999999999991</v>
      </c>
      <c r="D66" s="7">
        <v>9</v>
      </c>
      <c r="E66" s="7">
        <v>1.74</v>
      </c>
      <c r="F66" s="17">
        <v>9</v>
      </c>
      <c r="G66" s="9">
        <v>6.38</v>
      </c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</row>
    <row r="67" spans="1:27">
      <c r="A67" s="8"/>
      <c r="B67" s="7">
        <v>9.01</v>
      </c>
      <c r="C67" s="7">
        <v>9.0399999999999991</v>
      </c>
      <c r="D67" s="7">
        <v>9.02</v>
      </c>
      <c r="E67" s="7">
        <v>1.1499999999999999</v>
      </c>
      <c r="F67" s="17">
        <v>9.01</v>
      </c>
      <c r="G67" s="9">
        <v>9.02</v>
      </c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 spans="1:27">
      <c r="A68" s="8"/>
      <c r="B68" s="7">
        <v>9</v>
      </c>
      <c r="C68" s="7">
        <v>0.54</v>
      </c>
      <c r="D68" s="7">
        <v>9.0299999999999994</v>
      </c>
      <c r="E68" s="7">
        <v>4.3600000000000003</v>
      </c>
      <c r="F68" s="17">
        <v>9.0299999999999994</v>
      </c>
      <c r="G68" s="9">
        <v>9.01</v>
      </c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</row>
    <row r="69" spans="1:27">
      <c r="A69" s="8"/>
      <c r="B69" s="7">
        <v>9.02</v>
      </c>
      <c r="C69" s="7">
        <v>6.18</v>
      </c>
      <c r="D69" s="7">
        <v>9.01</v>
      </c>
      <c r="E69" s="7">
        <v>9.0399999999999991</v>
      </c>
      <c r="F69" s="17">
        <v>9</v>
      </c>
      <c r="G69" s="9">
        <v>9.02</v>
      </c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</row>
    <row r="70" spans="1:27">
      <c r="A70" s="8"/>
      <c r="B70" s="7">
        <v>6.17</v>
      </c>
      <c r="C70" s="7">
        <v>9.01</v>
      </c>
      <c r="D70" s="7">
        <v>9.0399999999999991</v>
      </c>
      <c r="E70" s="7">
        <v>8.59</v>
      </c>
      <c r="F70" s="17">
        <v>9.02</v>
      </c>
      <c r="G70" s="9">
        <v>9.02</v>
      </c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 spans="1:27">
      <c r="A71" s="8"/>
      <c r="B71" s="7">
        <v>8.09</v>
      </c>
      <c r="C71" s="7">
        <v>-0.06</v>
      </c>
      <c r="D71" s="7">
        <v>9.0299999999999994</v>
      </c>
      <c r="E71" s="7">
        <v>1.61</v>
      </c>
      <c r="F71" s="17">
        <v>9.0299999999999994</v>
      </c>
      <c r="G71" s="9">
        <v>9.01</v>
      </c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</row>
    <row r="72" spans="1:27">
      <c r="A72" s="8"/>
      <c r="B72" s="7">
        <v>9.02</v>
      </c>
      <c r="C72" s="7">
        <v>5.92</v>
      </c>
      <c r="D72" s="7">
        <v>9.01</v>
      </c>
      <c r="E72" s="7">
        <v>1.59</v>
      </c>
      <c r="F72" s="17">
        <v>9.0299999999999994</v>
      </c>
      <c r="G72" s="9">
        <v>9.0299999999999994</v>
      </c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</row>
    <row r="73" spans="1:27">
      <c r="A73" s="8"/>
      <c r="B73" s="7">
        <v>7.74</v>
      </c>
      <c r="C73" s="7">
        <v>6.21</v>
      </c>
      <c r="D73" s="7">
        <v>9.02</v>
      </c>
      <c r="E73" s="7">
        <v>0.93</v>
      </c>
      <c r="F73" s="17">
        <v>8.58</v>
      </c>
      <c r="G73" s="9">
        <v>9.01</v>
      </c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</row>
    <row r="74" spans="1:27">
      <c r="A74" s="8"/>
      <c r="B74" s="7">
        <v>9.01</v>
      </c>
      <c r="C74" s="7">
        <v>9.0299999999999994</v>
      </c>
      <c r="D74" s="7">
        <v>9.01</v>
      </c>
      <c r="E74" s="7">
        <v>0.57999999999999996</v>
      </c>
      <c r="F74" s="17">
        <v>8.33</v>
      </c>
      <c r="G74" s="9">
        <v>8.43</v>
      </c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</row>
    <row r="75" spans="1:27">
      <c r="A75" s="8"/>
      <c r="B75" s="7">
        <v>6.58</v>
      </c>
      <c r="C75" s="7">
        <v>4.8600000000000003</v>
      </c>
      <c r="D75" s="7">
        <v>9.01</v>
      </c>
      <c r="E75" s="7">
        <v>1.82</v>
      </c>
      <c r="F75" s="17">
        <v>9</v>
      </c>
      <c r="G75" s="9">
        <v>9.0299999999999994</v>
      </c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</row>
    <row r="76" spans="1:27">
      <c r="A76" s="8"/>
      <c r="B76" s="7">
        <v>8.58</v>
      </c>
      <c r="C76" s="7">
        <v>0.11</v>
      </c>
      <c r="D76" s="7">
        <v>9</v>
      </c>
      <c r="E76" s="7">
        <v>9</v>
      </c>
      <c r="F76" s="17">
        <v>8.92</v>
      </c>
      <c r="G76" s="9">
        <v>9.01</v>
      </c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</row>
    <row r="77" spans="1:27">
      <c r="A77" s="8"/>
      <c r="B77" s="7">
        <v>8.15</v>
      </c>
      <c r="C77" s="7">
        <v>0.65</v>
      </c>
      <c r="D77" s="7">
        <v>9</v>
      </c>
      <c r="E77" s="7">
        <v>8.4</v>
      </c>
      <c r="F77" s="17">
        <v>4.07</v>
      </c>
      <c r="G77" s="9">
        <v>9.01</v>
      </c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</row>
    <row r="78" spans="1:27">
      <c r="A78" s="8"/>
      <c r="B78" s="7">
        <v>9.02</v>
      </c>
      <c r="C78" s="7">
        <v>7.94</v>
      </c>
      <c r="D78" s="7">
        <v>8.67</v>
      </c>
      <c r="E78" s="7">
        <v>0.05</v>
      </c>
      <c r="F78" s="17">
        <v>9.01</v>
      </c>
      <c r="G78" s="9">
        <v>9.01</v>
      </c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</row>
    <row r="79" spans="1:27">
      <c r="A79" s="8"/>
      <c r="B79" s="7">
        <v>9</v>
      </c>
      <c r="C79" s="7">
        <v>9.0299999999999994</v>
      </c>
      <c r="D79" s="7">
        <v>9.01</v>
      </c>
      <c r="E79" s="7">
        <v>1.61</v>
      </c>
      <c r="F79" s="17">
        <v>9.02</v>
      </c>
      <c r="G79" s="9">
        <v>8.85</v>
      </c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</row>
    <row r="80" spans="1:27">
      <c r="A80" s="8"/>
      <c r="B80" s="7">
        <v>9.02</v>
      </c>
      <c r="C80" s="7">
        <v>0.43</v>
      </c>
      <c r="D80" s="7">
        <v>9.02</v>
      </c>
      <c r="E80" s="7">
        <v>1.01</v>
      </c>
      <c r="F80" s="17">
        <v>9.01</v>
      </c>
      <c r="G80" s="9">
        <v>9.0299999999999994</v>
      </c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</row>
    <row r="81" spans="1:27">
      <c r="A81" s="8"/>
      <c r="B81" s="7">
        <v>9.01</v>
      </c>
      <c r="C81" s="7">
        <v>5.62</v>
      </c>
      <c r="D81" s="7">
        <v>9.02</v>
      </c>
      <c r="E81" s="7">
        <v>5.77</v>
      </c>
      <c r="F81" s="17">
        <v>9.02</v>
      </c>
      <c r="G81" s="9">
        <v>9.0399999999999991</v>
      </c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</row>
    <row r="82" spans="1:27">
      <c r="A82" s="8"/>
      <c r="B82" s="7">
        <v>9.01</v>
      </c>
      <c r="C82" s="7">
        <v>0.38</v>
      </c>
      <c r="D82" s="7">
        <v>9.01</v>
      </c>
      <c r="E82" s="7">
        <v>9.01</v>
      </c>
      <c r="F82" s="17">
        <v>9</v>
      </c>
      <c r="G82" s="9">
        <v>9.02</v>
      </c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</row>
    <row r="83" spans="1:27">
      <c r="A83" s="8"/>
      <c r="B83" s="7">
        <v>8.34</v>
      </c>
      <c r="C83" s="7">
        <v>0.18</v>
      </c>
      <c r="D83" s="7">
        <v>9.01</v>
      </c>
      <c r="E83" s="7">
        <v>5.6</v>
      </c>
      <c r="F83" s="17">
        <v>9.01</v>
      </c>
      <c r="G83" s="9">
        <v>9.02</v>
      </c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</row>
    <row r="84" spans="1:27">
      <c r="A84" s="8"/>
      <c r="B84" s="7">
        <v>9.01</v>
      </c>
      <c r="C84" s="7">
        <v>4.58</v>
      </c>
      <c r="D84" s="7">
        <v>9.01</v>
      </c>
      <c r="E84" s="7">
        <v>1.17</v>
      </c>
      <c r="F84" s="17">
        <v>9.01</v>
      </c>
      <c r="G84" s="9">
        <v>9.01</v>
      </c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</row>
    <row r="85" spans="1:27">
      <c r="A85" s="8"/>
      <c r="B85" s="7">
        <v>9</v>
      </c>
      <c r="C85" s="7">
        <v>3.65</v>
      </c>
      <c r="D85" s="7">
        <v>9.0299999999999994</v>
      </c>
      <c r="E85" s="7">
        <v>1.1299999999999999</v>
      </c>
      <c r="F85" s="17">
        <v>3.64</v>
      </c>
      <c r="G85" s="9">
        <v>9.0500000000000007</v>
      </c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</row>
    <row r="86" spans="1:27">
      <c r="A86" s="8"/>
      <c r="B86" s="7">
        <v>4.62</v>
      </c>
      <c r="C86" s="7">
        <v>-0.3</v>
      </c>
      <c r="D86" s="7">
        <v>2.1</v>
      </c>
      <c r="E86" s="7">
        <v>1.85</v>
      </c>
      <c r="F86" s="17">
        <v>9.02</v>
      </c>
      <c r="G86" s="9">
        <v>9.02</v>
      </c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</row>
    <row r="87" spans="1:27">
      <c r="A87" s="8"/>
      <c r="B87" s="7">
        <v>9.02</v>
      </c>
      <c r="C87" s="7">
        <v>0.14000000000000001</v>
      </c>
      <c r="D87" s="7">
        <v>7.56</v>
      </c>
      <c r="E87" s="7">
        <v>7.28</v>
      </c>
      <c r="F87" s="17">
        <v>9.01</v>
      </c>
      <c r="G87" s="9">
        <v>9.0399999999999991</v>
      </c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</row>
    <row r="88" spans="1:27">
      <c r="A88" s="8"/>
      <c r="B88" s="7">
        <v>9.02</v>
      </c>
      <c r="C88" s="7">
        <v>3.43</v>
      </c>
      <c r="D88" s="7">
        <v>9.01</v>
      </c>
      <c r="E88" s="7">
        <v>8.51</v>
      </c>
      <c r="F88" s="17">
        <v>8.8699999999999992</v>
      </c>
      <c r="G88" s="9">
        <v>9.02</v>
      </c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</row>
    <row r="89" spans="1:27">
      <c r="A89" s="8"/>
      <c r="B89" s="7">
        <v>9.01</v>
      </c>
      <c r="C89" s="7">
        <v>5.98</v>
      </c>
      <c r="D89" s="7">
        <v>9</v>
      </c>
      <c r="E89" s="7">
        <v>1.64</v>
      </c>
      <c r="F89" s="17">
        <v>3.74</v>
      </c>
      <c r="G89" s="9">
        <v>9.01</v>
      </c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</row>
    <row r="90" spans="1:27">
      <c r="A90" s="8"/>
      <c r="B90" s="7">
        <v>9</v>
      </c>
      <c r="C90" s="7">
        <v>5.22</v>
      </c>
      <c r="D90" s="7">
        <v>9</v>
      </c>
      <c r="E90" s="7">
        <v>6.67</v>
      </c>
      <c r="F90" s="17">
        <v>9.01</v>
      </c>
      <c r="G90" s="9">
        <v>9.01</v>
      </c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</row>
    <row r="91" spans="1:27">
      <c r="A91" s="8"/>
      <c r="B91" s="7">
        <v>9.02</v>
      </c>
      <c r="C91" s="7">
        <v>9.02</v>
      </c>
      <c r="D91" s="7">
        <v>9.01</v>
      </c>
      <c r="E91" s="7">
        <v>1.75</v>
      </c>
      <c r="F91" s="17">
        <v>9.01</v>
      </c>
      <c r="G91" s="9">
        <v>9.01</v>
      </c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 spans="1:27">
      <c r="A92" s="8"/>
      <c r="B92" s="7">
        <v>9.02</v>
      </c>
      <c r="C92" s="7">
        <v>9.0299999999999994</v>
      </c>
      <c r="D92" s="7">
        <v>9.02</v>
      </c>
      <c r="E92" s="7">
        <v>7.3</v>
      </c>
      <c r="F92" s="17">
        <v>8.98</v>
      </c>
      <c r="G92" s="9">
        <v>9</v>
      </c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 spans="1:27">
      <c r="A93" s="8"/>
      <c r="B93" s="7">
        <v>7.02</v>
      </c>
      <c r="C93" s="7">
        <v>6.69</v>
      </c>
      <c r="D93" s="7">
        <v>9.0299999999999994</v>
      </c>
      <c r="E93" s="7">
        <v>0.43</v>
      </c>
      <c r="F93" s="17">
        <v>9.02</v>
      </c>
      <c r="G93" s="9">
        <v>9.02</v>
      </c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 spans="1:27">
      <c r="A94" s="8"/>
      <c r="B94" s="7">
        <v>6.31</v>
      </c>
      <c r="C94" s="7">
        <v>9</v>
      </c>
      <c r="D94" s="7">
        <v>8.14</v>
      </c>
      <c r="E94" s="7">
        <v>2.27</v>
      </c>
      <c r="F94" s="17">
        <v>9.01</v>
      </c>
      <c r="G94" s="9">
        <v>9.02</v>
      </c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 spans="1:27">
      <c r="A95" s="8"/>
      <c r="B95" s="7">
        <v>9.01</v>
      </c>
      <c r="C95" s="7">
        <v>-0.12</v>
      </c>
      <c r="D95" s="7">
        <v>9.0299999999999994</v>
      </c>
      <c r="E95" s="7">
        <v>1.24</v>
      </c>
      <c r="F95" s="17">
        <v>8.57</v>
      </c>
      <c r="G95" s="9">
        <v>9.0399999999999991</v>
      </c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 spans="1:27">
      <c r="A96" s="8"/>
      <c r="B96" s="7">
        <v>9.0299999999999994</v>
      </c>
      <c r="C96" s="7">
        <v>6.72</v>
      </c>
      <c r="D96" s="7">
        <v>9.01</v>
      </c>
      <c r="E96" s="7">
        <v>-0.21</v>
      </c>
      <c r="F96" s="17">
        <v>9.0299999999999994</v>
      </c>
      <c r="G96" s="9">
        <v>9</v>
      </c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 spans="1:27">
      <c r="A97" s="8"/>
      <c r="B97" s="7">
        <v>9</v>
      </c>
      <c r="C97" s="7">
        <v>6.49</v>
      </c>
      <c r="D97" s="7">
        <v>9.01</v>
      </c>
      <c r="E97" s="7">
        <v>1.37</v>
      </c>
      <c r="F97" s="17">
        <v>8.3699999999999992</v>
      </c>
      <c r="G97" s="9">
        <v>9</v>
      </c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 spans="1:27">
      <c r="A98" s="8"/>
      <c r="B98" s="7">
        <v>7.93</v>
      </c>
      <c r="C98" s="7">
        <v>5.96</v>
      </c>
      <c r="D98" s="7">
        <v>9.0399999999999991</v>
      </c>
      <c r="E98" s="7">
        <v>5.95</v>
      </c>
      <c r="F98" s="17">
        <v>6.66</v>
      </c>
      <c r="G98" s="9">
        <v>9</v>
      </c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 spans="1:27">
      <c r="A99" s="8"/>
      <c r="B99" s="7">
        <v>7.86</v>
      </c>
      <c r="C99" s="7">
        <v>9.02</v>
      </c>
      <c r="D99" s="7">
        <v>9.01</v>
      </c>
      <c r="E99" s="7">
        <v>2.71</v>
      </c>
      <c r="F99" s="17">
        <v>9.02</v>
      </c>
      <c r="G99" s="9">
        <v>9.01</v>
      </c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 spans="1:27">
      <c r="A100" s="8"/>
      <c r="B100" s="7">
        <v>6.15</v>
      </c>
      <c r="C100" s="7">
        <v>8.33</v>
      </c>
      <c r="D100" s="7">
        <v>9</v>
      </c>
      <c r="E100" s="7">
        <v>1.56</v>
      </c>
      <c r="F100" s="17">
        <v>9</v>
      </c>
      <c r="G100" s="9">
        <v>9.01</v>
      </c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 spans="1:27">
      <c r="A101" s="8"/>
      <c r="B101" s="7">
        <v>9.01</v>
      </c>
      <c r="C101" s="7">
        <v>-0.04</v>
      </c>
      <c r="D101" s="7">
        <v>7.7</v>
      </c>
      <c r="E101" s="7">
        <v>8.0500000000000007</v>
      </c>
      <c r="F101" s="17">
        <v>9.01</v>
      </c>
      <c r="G101" s="9">
        <v>9.01</v>
      </c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 spans="1:27">
      <c r="A102" s="8"/>
      <c r="B102" s="10">
        <v>5.35</v>
      </c>
      <c r="C102" s="10">
        <v>9.0299999999999994</v>
      </c>
      <c r="D102" s="10">
        <v>8.59</v>
      </c>
      <c r="E102" s="10">
        <v>9</v>
      </c>
      <c r="F102" s="18">
        <v>9.01</v>
      </c>
      <c r="G102" s="12">
        <v>9.02</v>
      </c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 spans="1:27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 spans="1:27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 spans="1:27">
      <c r="A105" s="30"/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r="106" spans="1:27">
      <c r="A106" s="30"/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 spans="1:27">
      <c r="A107" s="30"/>
      <c r="B107" s="71" t="s">
        <v>19</v>
      </c>
      <c r="C107" s="79">
        <v>7.6553000000000004</v>
      </c>
      <c r="D107" s="79">
        <v>1.9539</v>
      </c>
      <c r="E107" s="79">
        <v>9</v>
      </c>
      <c r="F107" s="79">
        <v>7.2723000000000004</v>
      </c>
      <c r="G107" s="79">
        <v>8.0382999999999996</v>
      </c>
      <c r="H107" s="81">
        <v>1.03</v>
      </c>
      <c r="I107" s="81">
        <v>9.0299999999999994</v>
      </c>
      <c r="J107" s="72">
        <v>25.5</v>
      </c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 spans="1:27">
      <c r="A108" s="30"/>
      <c r="B108" s="71" t="s">
        <v>20</v>
      </c>
      <c r="C108" s="79">
        <v>5.4984999999999999</v>
      </c>
      <c r="D108" s="79">
        <v>3.1772999999999998</v>
      </c>
      <c r="E108" s="79">
        <v>5.9850000000000003</v>
      </c>
      <c r="F108" s="79">
        <v>4.8757999999999999</v>
      </c>
      <c r="G108" s="79">
        <v>6.1212</v>
      </c>
      <c r="H108" s="81">
        <v>-0.3</v>
      </c>
      <c r="I108" s="81">
        <v>9.0399999999999991</v>
      </c>
      <c r="J108" s="72">
        <v>57.8</v>
      </c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 spans="1:27">
      <c r="A109" s="30"/>
      <c r="B109" s="71" t="s">
        <v>3</v>
      </c>
      <c r="C109" s="79">
        <v>8.5516000000000005</v>
      </c>
      <c r="D109" s="79">
        <v>1.5626</v>
      </c>
      <c r="E109" s="79">
        <v>9.01</v>
      </c>
      <c r="F109" s="79">
        <v>8.2453000000000003</v>
      </c>
      <c r="G109" s="79">
        <v>8.8579000000000008</v>
      </c>
      <c r="H109" s="81">
        <v>0.28999999999999998</v>
      </c>
      <c r="I109" s="81">
        <v>9.0399999999999991</v>
      </c>
      <c r="J109" s="72">
        <v>18.3</v>
      </c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 spans="1:27">
      <c r="A110" s="30"/>
      <c r="B110" s="71" t="s">
        <v>21</v>
      </c>
      <c r="C110" s="79">
        <v>3.7686000000000002</v>
      </c>
      <c r="D110" s="79">
        <v>3.2612000000000001</v>
      </c>
      <c r="E110" s="79">
        <v>1.835</v>
      </c>
      <c r="F110" s="79">
        <v>3.1294</v>
      </c>
      <c r="G110" s="79">
        <v>4.4077999999999999</v>
      </c>
      <c r="H110" s="81">
        <v>-0.21</v>
      </c>
      <c r="I110" s="81">
        <v>9.0399999999999991</v>
      </c>
      <c r="J110" s="72">
        <v>86.5</v>
      </c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 spans="1:27">
      <c r="A111" s="30"/>
      <c r="B111" s="71" t="s">
        <v>22</v>
      </c>
      <c r="C111" s="79">
        <v>8.5111000000000008</v>
      </c>
      <c r="D111" s="79">
        <v>1.3209</v>
      </c>
      <c r="E111" s="79">
        <v>9.01</v>
      </c>
      <c r="F111" s="79">
        <v>8.2522000000000002</v>
      </c>
      <c r="G111" s="79">
        <v>8.77</v>
      </c>
      <c r="H111" s="81">
        <v>1.94</v>
      </c>
      <c r="I111" s="81">
        <v>9.0500000000000007</v>
      </c>
      <c r="J111" s="72">
        <v>15.5</v>
      </c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1:27">
      <c r="A112" s="30"/>
      <c r="B112" s="73" t="s">
        <v>6</v>
      </c>
      <c r="C112" s="80">
        <v>8.7530999999999999</v>
      </c>
      <c r="D112" s="80">
        <v>0.88139999999999996</v>
      </c>
      <c r="E112" s="80">
        <v>9.01</v>
      </c>
      <c r="F112" s="80">
        <v>8.5803999999999991</v>
      </c>
      <c r="G112" s="80">
        <v>8.9258000000000006</v>
      </c>
      <c r="H112" s="82">
        <v>4.42</v>
      </c>
      <c r="I112" s="82">
        <v>9.0500000000000007</v>
      </c>
      <c r="J112" s="74">
        <v>10.1</v>
      </c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1:27">
      <c r="A113" s="30"/>
      <c r="B113" s="67"/>
      <c r="C113" s="66"/>
      <c r="D113" s="66"/>
      <c r="E113" s="66"/>
      <c r="F113" s="66"/>
      <c r="G113" s="66"/>
      <c r="H113" s="66"/>
      <c r="I113" s="66"/>
      <c r="J113" s="66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1:27">
      <c r="A114" s="30"/>
      <c r="B114" s="67"/>
      <c r="C114" s="66"/>
      <c r="D114" s="66"/>
      <c r="E114" s="66"/>
      <c r="F114" s="66"/>
      <c r="G114" s="66"/>
      <c r="H114" s="66"/>
      <c r="I114" s="66"/>
      <c r="J114" s="66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1:27">
      <c r="A115" s="30"/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1:27">
      <c r="A116" s="30"/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1:27">
      <c r="A117" s="30"/>
      <c r="B117" s="77">
        <v>34.328200000000002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1:27">
      <c r="A118" s="30"/>
      <c r="B118" s="67"/>
      <c r="C118" s="66"/>
      <c r="D118" s="66"/>
      <c r="E118" s="66"/>
      <c r="F118" s="66"/>
      <c r="G118" s="66"/>
      <c r="H118" s="66"/>
      <c r="I118" s="66"/>
      <c r="J118" s="66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1:27">
      <c r="A119" s="30"/>
      <c r="B119" s="67"/>
      <c r="C119" s="66"/>
      <c r="D119" s="66"/>
      <c r="E119" s="66"/>
      <c r="F119" s="66"/>
      <c r="G119" s="66"/>
      <c r="H119" s="66"/>
      <c r="I119" s="66"/>
      <c r="J119" s="66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 spans="1:27">
      <c r="A120" s="30"/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 spans="1:27">
      <c r="A121" s="30"/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 spans="1:27">
      <c r="A122" s="30"/>
      <c r="B122" s="87">
        <v>62.009300000000003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 spans="1:27">
      <c r="A123" s="30"/>
      <c r="B123" s="67"/>
      <c r="C123" s="66"/>
      <c r="D123" s="66"/>
      <c r="E123" s="66"/>
      <c r="F123" s="66"/>
      <c r="G123" s="66"/>
      <c r="H123" s="66"/>
      <c r="I123" s="66"/>
      <c r="J123" s="66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 spans="1:27">
      <c r="A124" s="30"/>
      <c r="B124" s="67"/>
      <c r="C124" s="66"/>
      <c r="D124" s="66"/>
      <c r="E124" s="66"/>
      <c r="F124" s="66"/>
      <c r="G124" s="66"/>
      <c r="H124" s="66"/>
      <c r="I124" s="66"/>
      <c r="J124" s="66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 spans="1:27">
      <c r="A125" s="30"/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 spans="1:27">
      <c r="A126" s="30"/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 spans="1:27">
      <c r="A127" s="30"/>
      <c r="B127" s="93" t="s">
        <v>19</v>
      </c>
      <c r="C127" s="95" t="s">
        <v>20</v>
      </c>
      <c r="D127" s="91">
        <v>2.1568000000000001</v>
      </c>
      <c r="E127" s="91">
        <v>0.373</v>
      </c>
      <c r="F127" s="91">
        <v>1.4202999999999999</v>
      </c>
      <c r="G127" s="91">
        <v>2.8933</v>
      </c>
      <c r="H127" s="92" t="s">
        <v>27</v>
      </c>
      <c r="I127" s="89" t="s">
        <v>41</v>
      </c>
      <c r="J127" s="66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 spans="1:27">
      <c r="A128" s="30"/>
      <c r="B128" s="71" t="s">
        <v>19</v>
      </c>
      <c r="C128" s="96" t="s">
        <v>3</v>
      </c>
      <c r="D128" s="79">
        <v>-0.89629999999999999</v>
      </c>
      <c r="E128" s="79">
        <v>0.25019999999999998</v>
      </c>
      <c r="F128" s="79">
        <v>-1.3897999999999999</v>
      </c>
      <c r="G128" s="79">
        <v>-0.40279999999999999</v>
      </c>
      <c r="H128" s="88" t="s">
        <v>27</v>
      </c>
      <c r="I128" s="90" t="s">
        <v>41</v>
      </c>
      <c r="J128" s="66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 spans="1:27">
      <c r="A129" s="30"/>
      <c r="B129" s="71" t="s">
        <v>19</v>
      </c>
      <c r="C129" s="96" t="s">
        <v>21</v>
      </c>
      <c r="D129" s="79">
        <v>3.8866999999999998</v>
      </c>
      <c r="E129" s="79">
        <v>0.38019999999999998</v>
      </c>
      <c r="F129" s="79">
        <v>3.1360000000000001</v>
      </c>
      <c r="G129" s="79">
        <v>4.6374000000000004</v>
      </c>
      <c r="H129" s="88" t="s">
        <v>27</v>
      </c>
      <c r="I129" s="90" t="s">
        <v>41</v>
      </c>
      <c r="J129" s="66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 spans="1:27">
      <c r="A130" s="30"/>
      <c r="B130" s="71" t="s">
        <v>19</v>
      </c>
      <c r="C130" s="96" t="s">
        <v>22</v>
      </c>
      <c r="D130" s="79">
        <v>-0.85580000000000001</v>
      </c>
      <c r="E130" s="79">
        <v>0.2359</v>
      </c>
      <c r="F130" s="79">
        <v>-1.3212999999999999</v>
      </c>
      <c r="G130" s="79">
        <v>-0.39029999999999998</v>
      </c>
      <c r="H130" s="88" t="s">
        <v>27</v>
      </c>
      <c r="I130" s="90" t="s">
        <v>41</v>
      </c>
      <c r="J130" s="66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 spans="1:27">
      <c r="A131" s="30"/>
      <c r="B131" s="71" t="s">
        <v>19</v>
      </c>
      <c r="C131" s="96" t="s">
        <v>6</v>
      </c>
      <c r="D131" s="79">
        <v>-1.0978000000000001</v>
      </c>
      <c r="E131" s="79">
        <v>0.21440000000000001</v>
      </c>
      <c r="F131" s="79">
        <v>-1.5216000000000001</v>
      </c>
      <c r="G131" s="79">
        <v>-0.67400000000000004</v>
      </c>
      <c r="H131" s="88" t="s">
        <v>27</v>
      </c>
      <c r="I131" s="90" t="s">
        <v>41</v>
      </c>
      <c r="J131" s="66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 spans="1:27">
      <c r="A132" s="30"/>
      <c r="B132" s="71" t="s">
        <v>20</v>
      </c>
      <c r="C132" s="96" t="s">
        <v>3</v>
      </c>
      <c r="D132" s="79">
        <v>-3.0531000000000001</v>
      </c>
      <c r="E132" s="79">
        <v>0.35410000000000003</v>
      </c>
      <c r="F132" s="79">
        <v>-3.7528999999999999</v>
      </c>
      <c r="G132" s="79">
        <v>-2.3532999999999999</v>
      </c>
      <c r="H132" s="88" t="s">
        <v>27</v>
      </c>
      <c r="I132" s="90" t="s">
        <v>41</v>
      </c>
      <c r="J132" s="66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 spans="1:27">
      <c r="A133" s="30"/>
      <c r="B133" s="71" t="s">
        <v>20</v>
      </c>
      <c r="C133" s="96" t="s">
        <v>21</v>
      </c>
      <c r="D133" s="79">
        <v>1.7299</v>
      </c>
      <c r="E133" s="79">
        <v>0.45529999999999998</v>
      </c>
      <c r="F133" s="79">
        <v>0.83199999999999996</v>
      </c>
      <c r="G133" s="79">
        <v>2.6278000000000001</v>
      </c>
      <c r="H133" s="88" t="s">
        <v>27</v>
      </c>
      <c r="I133" s="90" t="s">
        <v>41</v>
      </c>
      <c r="J133" s="66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 spans="1:27">
      <c r="A134" s="30"/>
      <c r="B134" s="71" t="s">
        <v>20</v>
      </c>
      <c r="C134" s="96" t="s">
        <v>22</v>
      </c>
      <c r="D134" s="79">
        <v>-3.0125999999999999</v>
      </c>
      <c r="E134" s="79">
        <v>0.34410000000000002</v>
      </c>
      <c r="F134" s="79">
        <v>-3.6932</v>
      </c>
      <c r="G134" s="79">
        <v>-2.3319999999999999</v>
      </c>
      <c r="H134" s="88" t="s">
        <v>27</v>
      </c>
      <c r="I134" s="90" t="s">
        <v>41</v>
      </c>
      <c r="J134" s="66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 spans="1:27">
      <c r="A135" s="30"/>
      <c r="B135" s="71" t="s">
        <v>20</v>
      </c>
      <c r="C135" s="96" t="s">
        <v>6</v>
      </c>
      <c r="D135" s="79">
        <v>-3.2545999999999999</v>
      </c>
      <c r="E135" s="79">
        <v>0.32969999999999999</v>
      </c>
      <c r="F135" s="79">
        <v>-3.9077999999999999</v>
      </c>
      <c r="G135" s="79">
        <v>-2.6013999999999999</v>
      </c>
      <c r="H135" s="88" t="s">
        <v>27</v>
      </c>
      <c r="I135" s="90" t="s">
        <v>41</v>
      </c>
      <c r="J135" s="66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 spans="1:27">
      <c r="A136" s="30"/>
      <c r="B136" s="71" t="s">
        <v>3</v>
      </c>
      <c r="C136" s="96" t="s">
        <v>21</v>
      </c>
      <c r="D136" s="79">
        <v>4.7830000000000004</v>
      </c>
      <c r="E136" s="79">
        <v>0.36159999999999998</v>
      </c>
      <c r="F136" s="79">
        <v>4.0682</v>
      </c>
      <c r="G136" s="79">
        <v>5.4977999999999998</v>
      </c>
      <c r="H136" s="88" t="s">
        <v>27</v>
      </c>
      <c r="I136" s="90" t="s">
        <v>41</v>
      </c>
      <c r="J136" s="66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 spans="1:27">
      <c r="A137" s="30"/>
      <c r="B137" s="71" t="s">
        <v>3</v>
      </c>
      <c r="C137" s="96" t="s">
        <v>22</v>
      </c>
      <c r="D137" s="79">
        <v>4.0500000000000001E-2</v>
      </c>
      <c r="E137" s="79">
        <v>0.2046</v>
      </c>
      <c r="F137" s="79">
        <v>-0.36309999999999998</v>
      </c>
      <c r="G137" s="79">
        <v>0.44409999999999999</v>
      </c>
      <c r="H137" s="97">
        <v>0.84330000000000005</v>
      </c>
      <c r="I137" s="90" t="s">
        <v>40</v>
      </c>
      <c r="J137" s="66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 spans="1:27">
      <c r="A138" s="30"/>
      <c r="B138" s="71" t="s">
        <v>3</v>
      </c>
      <c r="C138" s="96" t="s">
        <v>6</v>
      </c>
      <c r="D138" s="79">
        <v>-0.20150000000000001</v>
      </c>
      <c r="E138" s="79">
        <v>0.1794</v>
      </c>
      <c r="F138" s="79">
        <v>-0.55589999999999995</v>
      </c>
      <c r="G138" s="79">
        <v>0.15290000000000001</v>
      </c>
      <c r="H138" s="97">
        <v>0.2631</v>
      </c>
      <c r="I138" s="90" t="s">
        <v>40</v>
      </c>
      <c r="J138" s="66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 spans="1:27">
      <c r="A139" s="30"/>
      <c r="B139" s="71" t="s">
        <v>21</v>
      </c>
      <c r="C139" s="96" t="s">
        <v>22</v>
      </c>
      <c r="D139" s="79">
        <v>-4.7424999999999997</v>
      </c>
      <c r="E139" s="79">
        <v>0.35189999999999999</v>
      </c>
      <c r="F139" s="79">
        <v>-5.4386000000000001</v>
      </c>
      <c r="G139" s="79">
        <v>-4.0464000000000002</v>
      </c>
      <c r="H139" s="97" t="s">
        <v>27</v>
      </c>
      <c r="I139" s="90" t="s">
        <v>41</v>
      </c>
      <c r="J139" s="66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 spans="1:27">
      <c r="A140" s="30"/>
      <c r="B140" s="71" t="s">
        <v>21</v>
      </c>
      <c r="C140" s="96" t="s">
        <v>6</v>
      </c>
      <c r="D140" s="79">
        <v>-4.9844999999999997</v>
      </c>
      <c r="E140" s="79">
        <v>0.33779999999999999</v>
      </c>
      <c r="F140" s="79">
        <v>-5.6536999999999997</v>
      </c>
      <c r="G140" s="79">
        <v>-4.3152999999999997</v>
      </c>
      <c r="H140" s="97" t="s">
        <v>27</v>
      </c>
      <c r="I140" s="90" t="s">
        <v>41</v>
      </c>
      <c r="J140" s="66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 spans="1:27">
      <c r="A141" s="30"/>
      <c r="B141" s="73" t="s">
        <v>22</v>
      </c>
      <c r="C141" s="94" t="s">
        <v>6</v>
      </c>
      <c r="D141" s="80">
        <v>-0.24199999999999999</v>
      </c>
      <c r="E141" s="80">
        <v>0.1588</v>
      </c>
      <c r="F141" s="80">
        <v>-0.5554</v>
      </c>
      <c r="G141" s="80">
        <v>7.1400000000000005E-2</v>
      </c>
      <c r="H141" s="98">
        <v>0.1293</v>
      </c>
      <c r="I141" s="85" t="s">
        <v>40</v>
      </c>
      <c r="J141" s="66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 spans="1:27">
      <c r="A142" s="30"/>
      <c r="B142" s="67"/>
      <c r="C142" s="66"/>
      <c r="D142" s="66"/>
      <c r="E142" s="66"/>
      <c r="F142" s="66"/>
      <c r="G142" s="66"/>
      <c r="H142" s="66"/>
      <c r="I142" s="66"/>
      <c r="J142" s="66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 spans="1:27">
      <c r="A143" s="30"/>
      <c r="B143" s="67"/>
      <c r="C143" s="66"/>
      <c r="D143" s="66"/>
      <c r="E143" s="66"/>
      <c r="F143" s="66"/>
      <c r="G143" s="66"/>
      <c r="H143" s="66"/>
      <c r="I143" s="66"/>
      <c r="J143" s="66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 spans="1:27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 spans="1:27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 spans="1:27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 spans="1:2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 spans="1:27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 spans="1:27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 spans="1:27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 spans="1:27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 spans="1:27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 spans="1:27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 spans="1:27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 spans="1:27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 spans="1:27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 spans="1:2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 spans="1:27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 spans="1:27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 spans="1:27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 spans="1:27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 spans="1:27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 spans="1:27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 spans="1:27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 spans="1:27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 spans="1:27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 spans="1:2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 spans="1:27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 spans="1:27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 spans="1:27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 spans="1:27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 spans="1:27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 spans="1:27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 spans="1:27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 spans="1:27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 spans="1:27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 spans="1:2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 spans="1:27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 spans="1:27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 spans="1:27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 spans="1:27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 spans="1:27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 spans="1:27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 spans="1:27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 spans="1:27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 spans="1:27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 spans="1:2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 spans="1:27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 spans="1:27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 spans="1:27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 spans="1:27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 spans="1:27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 spans="1:27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 spans="1:27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 spans="1:27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 spans="1:27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 spans="1:2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 spans="1:27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 spans="1:27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 spans="1:27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 spans="1:27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 spans="1:27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 spans="1:27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 spans="1:27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 spans="1:27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 spans="1:27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 spans="1:2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 spans="1:27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 spans="1:27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 spans="1:27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 spans="1:27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 spans="1:27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 spans="1:27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 spans="1:27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 spans="1:27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 spans="1:27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 spans="1:2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 spans="1:27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 spans="1:27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 spans="1:27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 spans="1:27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 spans="1:27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 spans="1:27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 spans="1:27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 spans="1:27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 spans="1:27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 spans="1: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 spans="1:27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 spans="1:27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 spans="1:27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 spans="1:27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 spans="1:27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 spans="1:27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 spans="1:27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 spans="1:27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 spans="1:27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 spans="1:2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 spans="1:27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 spans="1:27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 spans="1:27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 spans="1:27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 spans="1:27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 spans="1:27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 spans="1:27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 spans="1:27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 spans="1:27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 spans="1:2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 spans="1:27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 spans="1:27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 spans="1:27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 spans="1:27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 spans="1:27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 spans="1:27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 spans="1:27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 spans="1:27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 spans="1:27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 spans="1:2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 spans="1:27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 spans="1:27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 spans="1:27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 spans="1:27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 spans="1:27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 spans="1:27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 spans="1:27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 spans="1:27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 spans="1:27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 spans="1:2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 spans="1:27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 spans="1:27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 spans="1:27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 spans="1:27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 spans="1:27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 spans="1:27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 spans="1:27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 spans="1:27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 spans="1:27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 spans="1:2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 spans="1:27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 spans="1:27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 spans="1:27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 spans="1:27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 spans="1:27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 spans="1:27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 spans="1:27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 spans="1:27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 spans="1:27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 spans="1:2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 spans="1:27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 spans="1:27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 spans="1:27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 spans="1:27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 spans="1:27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 spans="1:27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 spans="1:27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 spans="1:27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 spans="1:27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 spans="1:2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 spans="1:27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 spans="1:27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 spans="1:27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 spans="1:27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 spans="1:27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 spans="1:27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 spans="1:27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 spans="1:27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 spans="1:27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 spans="1:2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 spans="1:27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 spans="1:27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 spans="1:27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 spans="1:27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 spans="1:27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 spans="1:27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 spans="1:27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 spans="1:27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 spans="1:27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 spans="1:2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 spans="1:27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 spans="1:27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 spans="1:27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 spans="1:27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 spans="1:27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 spans="1:27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 spans="1:27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 spans="1:27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 spans="1:27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 spans="1: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 spans="1:27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 spans="1:27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 spans="1:27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 spans="1:27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 spans="1:27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 spans="1:27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 spans="1:27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 spans="1:27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 spans="1:27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 spans="1:2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 spans="1:27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 spans="1:27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 spans="1:27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 spans="1:27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 spans="1:27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 spans="1:27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 spans="1:27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 spans="1:27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 spans="1:27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 spans="1:2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 spans="1:27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 spans="1:27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 spans="1:27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 spans="1:27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 spans="1:27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 spans="1:27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 spans="1:27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 spans="1:27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 spans="1:27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 spans="1:2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 spans="1:27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 spans="1:27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 spans="1:27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 spans="1:27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 spans="1:27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 spans="1:27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 spans="1:27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 spans="1:27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 spans="1:27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 spans="1:2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 spans="1:27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 spans="1:27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 spans="1:27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 spans="1:27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 spans="1:27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 spans="1:27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 spans="1:27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 spans="1:27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 spans="1:27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 spans="1:2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 spans="1:27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 spans="1:27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 spans="1:27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 spans="1:27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 spans="1:27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 spans="1:27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 spans="1:27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 spans="1:27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 spans="1:27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 spans="1:2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 spans="1:27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 spans="1:27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 spans="1:27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 spans="1:27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 spans="1:27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 spans="1:27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 spans="1:27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 spans="1:27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 spans="1:27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 spans="1:2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 spans="1:27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 spans="1:27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 spans="1:27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 spans="1:27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 spans="1:27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 spans="1:27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 spans="1:27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 spans="1:27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 spans="1:27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 spans="1:2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 spans="1:27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 spans="1:27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 spans="1:27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 spans="1:27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 spans="1:27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 spans="1:27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 spans="1:27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 spans="1:27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 spans="1:27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 spans="1:2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 spans="1:27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 spans="1:27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 spans="1:27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 spans="1:27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 spans="1:27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 spans="1:27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 spans="1:27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 spans="1:27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 spans="1:27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 spans="1: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 spans="1:27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 spans="1:27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 spans="1:27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 spans="1:27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 spans="1:27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 spans="1:27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 spans="1:27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 spans="1:27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 spans="1:27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 spans="1:2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 spans="1:27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 spans="1:27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 spans="1:27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 spans="1:27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 spans="1:27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 spans="1:27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 spans="1:27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 spans="1:27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 spans="1:27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 spans="1:2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 spans="1:27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 spans="1:27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 spans="1:27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 spans="1:27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 spans="1:27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 spans="1:27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 spans="1:27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 spans="1:27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 spans="1:27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 spans="1:2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 spans="1:27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 spans="1:27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 spans="1:27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 spans="1:27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 spans="1:27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 spans="1:27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 spans="1:27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 spans="1:27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 spans="1:27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 spans="1:2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 spans="1:27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 spans="1:27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 spans="1:27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 spans="1:27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 spans="1:27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 spans="1:27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 spans="1:27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 spans="1:27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 spans="1:27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 spans="1:2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 spans="1:27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 spans="1:27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 spans="1:27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 spans="1:27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 spans="1:27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 spans="1:27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 spans="1:27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 spans="1:27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 spans="1:27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 spans="1:2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 spans="1:27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 spans="1:27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 spans="1:27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 spans="1:27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 spans="1:27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 spans="1:27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 spans="1:27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 spans="1:27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 spans="1:27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 spans="1:2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 spans="1:27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 spans="1:27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 spans="1:27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 spans="1:27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 spans="1:27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 spans="1:27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 spans="1:27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 spans="1:27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 spans="1:27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 spans="1:2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 spans="1:27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 spans="1:27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 spans="1:27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 spans="1:27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 spans="1:27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 spans="1:27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 spans="1:27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 spans="1:27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 spans="1:27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 spans="1:2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 spans="1:27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 spans="1:27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 spans="1:27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 spans="1:27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 spans="1:27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 spans="1:27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 spans="1:27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 spans="1:27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 spans="1:27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 spans="1: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 spans="1:27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 spans="1:27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 spans="1:27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 spans="1:27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 spans="1:27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 spans="1:27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 spans="1:27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 spans="1:27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 spans="1:27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 spans="1:2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 spans="1:27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 spans="1:27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 spans="1:27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 spans="1:27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 spans="1:27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 spans="1:27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 spans="1:27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 spans="1:27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 spans="1:27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 spans="1:2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 spans="1:27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 spans="1:27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 spans="1:27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 spans="1:27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 spans="1:27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 spans="1:27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 spans="1:27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 spans="1:27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 spans="1:27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 spans="1:2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 spans="1:27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 spans="1:27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 spans="1:27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 spans="1:27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 spans="1:27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 spans="1:27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 spans="1:27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 spans="1:27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 spans="1:27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 spans="1:2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 spans="1:27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 spans="1:27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 spans="1:27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 spans="1:27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 spans="1:27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 spans="1:27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 spans="1:27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 spans="1:27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 spans="1:27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 spans="1:2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 spans="1:27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 spans="1:27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 spans="1:27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 spans="1:27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 spans="1:27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 spans="1:27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 spans="1:27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 spans="1:27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 spans="1:27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 spans="1:2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 spans="1:27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 spans="1:27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 spans="1:27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 spans="1:27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 spans="1:27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 spans="1:27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 spans="1:27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 spans="1:27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 spans="1:27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 spans="1:2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 spans="1:27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 spans="1:27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 spans="1:27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 spans="1:27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 spans="1:27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 spans="1:27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 spans="1:27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 spans="1:27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 spans="1:27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 spans="1:2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 spans="1:27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 spans="1:27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 spans="1:27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 spans="1:27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 spans="1:27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 spans="1:27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 spans="1:27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 spans="1:27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 spans="1:27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 spans="1:2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 spans="1:27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 spans="1:27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 spans="1:27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 spans="1:27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 spans="1:27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 spans="1:27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 spans="1:27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 spans="1:27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 spans="1:27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 spans="1: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 spans="1:27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 spans="1:27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 spans="1:27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 spans="1:27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 spans="1:27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 spans="1:27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 spans="1:27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 spans="1:27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 spans="1:27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 spans="1:2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 spans="1:27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 spans="1:27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 spans="1:27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 spans="1:27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 spans="1:27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 spans="1:27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 spans="1:27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 spans="1:27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 spans="1:27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 spans="1:2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 spans="1:27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 spans="1:27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 spans="1:27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 spans="1:27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 spans="1:27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 spans="1:27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 spans="1:27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 spans="1:27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 spans="1:27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 spans="1:2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 spans="1:27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 spans="1:27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 spans="1:27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 spans="1:27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 spans="1:27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 spans="1:27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 spans="1:27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 spans="1:27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 spans="1:27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 spans="1:2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 spans="1:27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 spans="1:27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 spans="1:27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 spans="1:27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 spans="1:27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 spans="1:27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 spans="1:27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 spans="1:27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 spans="1:27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 spans="1:2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 spans="1:27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 spans="1:27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 spans="1:27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 spans="1:27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 spans="1:27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 spans="1:27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 spans="1:27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 spans="1:27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 spans="1:27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 spans="1:2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 spans="1:27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 spans="1:27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 spans="1:27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 spans="1:27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 spans="1:27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 spans="1:27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 spans="1:27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 spans="1:27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 spans="1:27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 spans="1:2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 spans="1:27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 spans="1:27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 spans="1:27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 spans="1:27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 spans="1:27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 spans="1:27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 spans="1:27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 spans="1:27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 spans="1:27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 spans="1:2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 spans="1:27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 spans="1:27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 spans="1:27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 spans="1:27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 spans="1:27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 spans="1:27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 spans="1:27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 spans="1:27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 spans="1:27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 spans="1:2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 spans="1:27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 spans="1:27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 spans="1:27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 spans="1:27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 spans="1:27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 spans="1:27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 spans="1:27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 spans="1:27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 spans="1:27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 spans="1: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 spans="1:27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 spans="1:27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 spans="1:27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 spans="1:27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 spans="1:27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 spans="1:27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 spans="1:27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 spans="1:27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 spans="1:27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 spans="1:2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 spans="1:27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 spans="1:27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 spans="1:27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 spans="1:27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 spans="1:27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 spans="1:27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 spans="1:27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 spans="1:27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 spans="1:27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 spans="1:2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 spans="1:27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 spans="1:27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 spans="1:27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 spans="1:27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 spans="1:27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 spans="1:27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 spans="1:27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 spans="1:27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 spans="1:27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 spans="1:2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 spans="1:27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 spans="1:27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  <row r="760" spans="1:27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</row>
    <row r="761" spans="1:27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</row>
    <row r="762" spans="1:27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</row>
    <row r="763" spans="1:27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</row>
    <row r="764" spans="1:27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</row>
    <row r="765" spans="1:27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</row>
    <row r="766" spans="1:27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</row>
    <row r="767" spans="1:2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</row>
    <row r="768" spans="1:27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</row>
    <row r="769" spans="1:27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</row>
    <row r="770" spans="1:27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</row>
    <row r="771" spans="1:27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</row>
    <row r="772" spans="1:27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</row>
    <row r="773" spans="1:27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</row>
    <row r="774" spans="1:27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</row>
    <row r="775" spans="1:27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</row>
    <row r="776" spans="1:27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</row>
    <row r="777" spans="1:2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</row>
    <row r="778" spans="1:27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</row>
    <row r="779" spans="1:27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</row>
    <row r="780" spans="1:27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</row>
    <row r="781" spans="1:27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</row>
    <row r="782" spans="1:27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</row>
    <row r="783" spans="1:27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</row>
    <row r="784" spans="1:27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</row>
    <row r="785" spans="1:27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</row>
    <row r="786" spans="1:27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</row>
    <row r="787" spans="1:2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</row>
    <row r="788" spans="1:27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</row>
    <row r="789" spans="1:27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</row>
    <row r="790" spans="1:27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</row>
    <row r="791" spans="1:27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</row>
    <row r="792" spans="1:27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</row>
    <row r="793" spans="1:27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</row>
    <row r="794" spans="1:27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</row>
    <row r="795" spans="1:27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</row>
    <row r="796" spans="1:27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</row>
    <row r="797" spans="1:2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</row>
    <row r="798" spans="1:27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</row>
    <row r="799" spans="1:27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</row>
    <row r="800" spans="1:27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</row>
    <row r="801" spans="1:27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</row>
    <row r="802" spans="1:27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</row>
    <row r="803" spans="1:27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</row>
    <row r="804" spans="1:27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</row>
    <row r="805" spans="1:27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</row>
    <row r="806" spans="1:27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</row>
    <row r="807" spans="1:2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</row>
    <row r="808" spans="1:27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</row>
    <row r="809" spans="1:27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</row>
    <row r="810" spans="1:27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</row>
    <row r="811" spans="1:27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</row>
    <row r="812" spans="1:27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</row>
    <row r="813" spans="1:27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</row>
    <row r="814" spans="1:27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</row>
    <row r="815" spans="1:27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</row>
    <row r="816" spans="1:27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</row>
    <row r="817" spans="1:2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</row>
    <row r="818" spans="1:27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</row>
    <row r="819" spans="1:27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</row>
    <row r="820" spans="1:27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</row>
    <row r="821" spans="1:27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</row>
    <row r="822" spans="1:27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</row>
    <row r="823" spans="1:27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</row>
    <row r="824" spans="1:27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</row>
    <row r="825" spans="1:27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</row>
    <row r="826" spans="1:27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</row>
    <row r="827" spans="1: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</row>
    <row r="828" spans="1:27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</row>
    <row r="829" spans="1:27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</row>
    <row r="830" spans="1:27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</row>
    <row r="831" spans="1:27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</row>
    <row r="832" spans="1:27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</row>
    <row r="833" spans="1:27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</row>
    <row r="834" spans="1:27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</row>
    <row r="835" spans="1:27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</row>
    <row r="836" spans="1:27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</row>
    <row r="837" spans="1:2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</row>
    <row r="838" spans="1:27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</row>
    <row r="839" spans="1:27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</row>
    <row r="840" spans="1:27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</row>
    <row r="841" spans="1:27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</row>
    <row r="842" spans="1:27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</row>
    <row r="843" spans="1:27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</row>
    <row r="844" spans="1:27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</row>
    <row r="845" spans="1:27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</row>
    <row r="846" spans="1:27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</row>
    <row r="847" spans="1:2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</row>
    <row r="848" spans="1:27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</row>
    <row r="849" spans="1:27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</row>
    <row r="850" spans="1:27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</row>
    <row r="851" spans="1:27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</row>
    <row r="852" spans="1:27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</row>
    <row r="853" spans="1:27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</row>
    <row r="854" spans="1:27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</row>
    <row r="855" spans="1:27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</row>
    <row r="856" spans="1:27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</row>
    <row r="857" spans="1:2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</row>
    <row r="858" spans="1:27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</row>
    <row r="859" spans="1:27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</row>
    <row r="860" spans="1:27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</row>
    <row r="861" spans="1:27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</row>
    <row r="862" spans="1:27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</row>
    <row r="863" spans="1:27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</row>
    <row r="864" spans="1:27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</row>
    <row r="865" spans="1:27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</row>
    <row r="866" spans="1:27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</row>
    <row r="867" spans="1:2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</row>
    <row r="868" spans="1:27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</row>
    <row r="869" spans="1:27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</row>
    <row r="870" spans="1:27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</row>
    <row r="871" spans="1:27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</row>
    <row r="872" spans="1:27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</row>
    <row r="873" spans="1:27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</row>
    <row r="874" spans="1:27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</row>
    <row r="875" spans="1:27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</row>
    <row r="876" spans="1:27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</row>
    <row r="877" spans="1:2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</row>
    <row r="878" spans="1:27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</row>
    <row r="879" spans="1:27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</row>
    <row r="880" spans="1:27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</row>
    <row r="881" spans="1:27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</row>
    <row r="882" spans="1:27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</row>
    <row r="883" spans="1:27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</row>
    <row r="884" spans="1:27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</row>
    <row r="885" spans="1:27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</row>
    <row r="886" spans="1:27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</row>
    <row r="887" spans="1:2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</row>
    <row r="888" spans="1:27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</row>
    <row r="889" spans="1:27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</row>
    <row r="890" spans="1:27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</row>
    <row r="891" spans="1:27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</row>
    <row r="892" spans="1:27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</row>
    <row r="893" spans="1:27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</row>
    <row r="894" spans="1:27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</row>
    <row r="895" spans="1:27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</row>
    <row r="896" spans="1:27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</row>
    <row r="897" spans="1:2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</row>
    <row r="898" spans="1:27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</row>
    <row r="899" spans="1:27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</row>
    <row r="900" spans="1:27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</row>
    <row r="901" spans="1:27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</row>
    <row r="902" spans="1:27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</row>
    <row r="903" spans="1:27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</row>
    <row r="904" spans="1:27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</row>
    <row r="905" spans="1:27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</row>
    <row r="906" spans="1:27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</row>
    <row r="907" spans="1:27" ht="15" customHeight="1"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 spans="1:27" ht="15" customHeight="1"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 spans="1:27" ht="15" customHeight="1"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 spans="1:27" ht="15" customHeight="1"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 spans="1:27" ht="15" customHeight="1"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 spans="1:27" ht="15" customHeight="1"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 spans="11:26" ht="15" customHeight="1"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 spans="11:26" ht="15" customHeight="1"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 spans="11:26" ht="15" customHeight="1"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 spans="11:26" ht="15" customHeight="1"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 spans="11:26" ht="15" customHeight="1"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 spans="11:26" ht="15" customHeight="1"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 spans="11:26" ht="15" customHeight="1"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 spans="11:26" ht="15" customHeight="1"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 spans="11:26" ht="15" customHeight="1"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 spans="11:26" ht="15" customHeight="1"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 spans="11:26" ht="15" customHeight="1"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 spans="11:26" ht="15" customHeight="1"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 spans="11:26" ht="15" customHeight="1"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 spans="11:26" ht="15" customHeight="1"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 spans="11:26" ht="15" customHeight="1"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 spans="11:26" ht="15" customHeight="1"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 spans="11:26" ht="15" customHeight="1"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 spans="11:26" ht="15" customHeight="1"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 spans="11:26" ht="15" customHeight="1"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 spans="11:26" ht="15" customHeight="1"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 spans="11:26" ht="15" customHeight="1"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 spans="11:26" ht="15" customHeight="1"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 spans="11:26" ht="15" customHeight="1"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 spans="11:26" ht="15" customHeight="1"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 spans="11:26" ht="15" customHeight="1"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 spans="11:26" ht="15" customHeight="1"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 spans="11:26" ht="15" customHeight="1"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 spans="11:26" ht="15" customHeight="1"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 spans="11:26" ht="15" customHeight="1"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 spans="11:26" ht="15" customHeight="1"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r="943" spans="11:26" ht="15" customHeight="1"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r="944" spans="11:26" ht="15" customHeight="1"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r="945" spans="11:26" ht="15" customHeight="1"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r="946" spans="11:26" ht="15" customHeight="1"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r="947" spans="11:26" ht="15" customHeight="1"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r="948" spans="11:26" ht="15" customHeight="1"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r="949" spans="11:26" ht="15" customHeight="1"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r="950" spans="11:26" ht="15" customHeight="1"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r="951" spans="11:26" ht="15" customHeight="1"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r="952" spans="11:26" ht="15" customHeight="1"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r="953" spans="11:26" ht="15" customHeight="1"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r="954" spans="11:26" ht="15" customHeight="1"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r="955" spans="11:26" ht="15" customHeight="1"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r="956" spans="11:26" ht="15" customHeight="1"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r="957" spans="11:26" ht="15" customHeight="1"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r="958" spans="11:26" ht="15" customHeight="1"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r="959" spans="11:26" ht="15" customHeight="1"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r="960" spans="11:26" ht="15" customHeight="1"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r="961" spans="11:26" ht="15" customHeight="1"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r="962" spans="11:26" ht="15" customHeight="1"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r="963" spans="11:26" ht="15" customHeight="1"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r="964" spans="11:26" ht="15" customHeight="1"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r="965" spans="11:26" ht="15" customHeight="1"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r="966" spans="11:26" ht="15" customHeight="1"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r="967" spans="11:26" ht="15" customHeight="1"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r="968" spans="11:26" ht="15" customHeight="1"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r="969" spans="11:26" ht="15" customHeight="1"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r="970" spans="11:26" ht="15" customHeight="1"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r="971" spans="11:26" ht="15" customHeight="1"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r="972" spans="11:26" ht="15" customHeight="1"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r="973" spans="11:26" ht="15" customHeight="1"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r="974" spans="11:26" ht="15" customHeight="1"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r="975" spans="11:26" ht="15" customHeight="1"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r="976" spans="11:26" ht="15" customHeight="1"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r="977" spans="11:26" ht="15" customHeight="1"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r="978" spans="11:26" ht="15" customHeight="1"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r="979" spans="11:26" ht="15" customHeight="1"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r="980" spans="11:26" ht="15" customHeight="1"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r="981" spans="11:26" ht="15" customHeight="1"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r="982" spans="11:26" ht="15" customHeight="1"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r="983" spans="11:26" ht="15" customHeight="1"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r="984" spans="11:26" ht="15" customHeight="1"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r="985" spans="11:26" ht="15" customHeight="1"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r="986" spans="11:26" ht="15" customHeight="1"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r="987" spans="11:26" ht="15" customHeight="1"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r="988" spans="11:26" ht="15" customHeight="1"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r="989" spans="11:26" ht="15" customHeight="1"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r="990" spans="11:26" ht="15" customHeight="1"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r="991" spans="11:26" ht="15" customHeight="1"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r="992" spans="11:26" ht="15" customHeight="1"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r="993" spans="11:26" ht="15" customHeight="1"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r="994" spans="11:26" ht="15" customHeight="1"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r="995" spans="11:26" ht="15" customHeight="1"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  <row r="996" spans="11:26" ht="15" customHeight="1"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</row>
    <row r="997" spans="11:26" ht="15" customHeight="1"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</row>
    <row r="998" spans="11:26" ht="15" customHeight="1"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</row>
    <row r="999" spans="11:26" ht="15" customHeight="1"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</row>
    <row r="1000" spans="11:26" ht="15" customHeight="1"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</row>
    <row r="1001" spans="11:26" ht="15" customHeight="1">
      <c r="K1001" s="30"/>
      <c r="L1001" s="30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</row>
    <row r="1002" spans="11:26" ht="15" customHeight="1">
      <c r="K1002" s="30"/>
      <c r="L1002" s="30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</row>
    <row r="1003" spans="11:26" ht="15" customHeight="1">
      <c r="K1003" s="30"/>
      <c r="L1003" s="30"/>
      <c r="M1003" s="30"/>
      <c r="N1003" s="30"/>
      <c r="O1003" s="30"/>
      <c r="P1003" s="30"/>
      <c r="Q1003" s="30"/>
      <c r="R1003" s="30"/>
      <c r="S1003" s="30"/>
      <c r="T1003" s="30"/>
      <c r="U1003" s="30"/>
      <c r="V1003" s="30"/>
      <c r="W1003" s="30"/>
      <c r="X1003" s="30"/>
      <c r="Y1003" s="30"/>
      <c r="Z1003" s="30"/>
    </row>
    <row r="1004" spans="11:26" ht="15" customHeight="1">
      <c r="K1004" s="30"/>
      <c r="L1004" s="30"/>
      <c r="M1004" s="30"/>
      <c r="N1004" s="30"/>
      <c r="O1004" s="30"/>
      <c r="P1004" s="30"/>
      <c r="Q1004" s="30"/>
      <c r="R1004" s="30"/>
      <c r="S1004" s="30"/>
      <c r="T1004" s="30"/>
      <c r="U1004" s="30"/>
      <c r="V1004" s="30"/>
      <c r="W1004" s="30"/>
      <c r="X1004" s="30"/>
      <c r="Y1004" s="30"/>
      <c r="Z1004" s="30"/>
    </row>
    <row r="1005" spans="11:26" ht="15" customHeight="1">
      <c r="K1005" s="30"/>
      <c r="L1005" s="30"/>
      <c r="M1005" s="30"/>
      <c r="N1005" s="30"/>
      <c r="O1005" s="30"/>
      <c r="P1005" s="30"/>
      <c r="Q1005" s="30"/>
      <c r="R1005" s="30"/>
      <c r="S1005" s="30"/>
      <c r="T1005" s="30"/>
      <c r="U1005" s="30"/>
      <c r="V1005" s="30"/>
      <c r="W1005" s="30"/>
      <c r="X1005" s="30"/>
      <c r="Y1005" s="30"/>
      <c r="Z1005" s="30"/>
    </row>
  </sheetData>
  <mergeCells count="5">
    <mergeCell ref="B105:J105"/>
    <mergeCell ref="B115:D115"/>
    <mergeCell ref="B120:F120"/>
    <mergeCell ref="B125:I125"/>
    <mergeCell ref="B1:G1"/>
  </mergeCells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J143"/>
  <sheetViews>
    <sheetView topLeftCell="A136" workbookViewId="0">
      <selection activeCell="A144" sqref="A144:XFD160"/>
    </sheetView>
  </sheetViews>
  <sheetFormatPr defaultColWidth="12.5703125" defaultRowHeight="15" customHeight="1"/>
  <cols>
    <col min="2" max="2" width="36.5703125" bestFit="1" customWidth="1"/>
    <col min="4" max="4" width="15.85546875" bestFit="1" customWidth="1"/>
    <col min="6" max="6" width="13.85546875" bestFit="1" customWidth="1"/>
    <col min="7" max="7" width="15.140625" bestFit="1" customWidth="1"/>
  </cols>
  <sheetData>
    <row r="1" spans="2:7">
      <c r="B1" s="53" t="s">
        <v>44</v>
      </c>
      <c r="C1" s="54"/>
      <c r="D1" s="54"/>
      <c r="E1" s="54"/>
      <c r="F1" s="54"/>
      <c r="G1" s="55"/>
    </row>
    <row r="2" spans="2:7"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19" t="s">
        <v>6</v>
      </c>
    </row>
    <row r="3" spans="2:7">
      <c r="B3" s="4">
        <v>11.4</v>
      </c>
      <c r="C3" s="16">
        <v>9.1</v>
      </c>
      <c r="D3" s="16">
        <v>10.029999999999999</v>
      </c>
      <c r="E3" s="6">
        <v>7.07</v>
      </c>
      <c r="F3" s="6">
        <v>9.77</v>
      </c>
      <c r="G3" s="6">
        <v>9.67</v>
      </c>
    </row>
    <row r="4" spans="2:7">
      <c r="B4" s="7">
        <v>10.6</v>
      </c>
      <c r="C4" s="17">
        <v>7.2</v>
      </c>
      <c r="D4" s="17">
        <v>10.27</v>
      </c>
      <c r="E4" s="9">
        <v>18.2</v>
      </c>
      <c r="F4" s="9">
        <v>10.4</v>
      </c>
      <c r="G4" s="9">
        <v>9.77</v>
      </c>
    </row>
    <row r="5" spans="2:7">
      <c r="B5" s="7">
        <v>11.4</v>
      </c>
      <c r="C5" s="17">
        <v>6.03</v>
      </c>
      <c r="D5" s="17">
        <v>10.43</v>
      </c>
      <c r="E5" s="9">
        <v>16.47</v>
      </c>
      <c r="F5" s="9">
        <v>10.6</v>
      </c>
      <c r="G5" s="9">
        <v>10.130000000000001</v>
      </c>
    </row>
    <row r="6" spans="2:7">
      <c r="B6" s="7">
        <v>10.23</v>
      </c>
      <c r="C6" s="17">
        <v>12.47</v>
      </c>
      <c r="D6" s="17">
        <v>9.33</v>
      </c>
      <c r="E6" s="9">
        <v>17.53</v>
      </c>
      <c r="F6" s="9">
        <v>9.6300000000000008</v>
      </c>
      <c r="G6" s="9">
        <v>9.8000000000000007</v>
      </c>
    </row>
    <row r="7" spans="2:7">
      <c r="B7" s="7">
        <v>11.83</v>
      </c>
      <c r="C7" s="17">
        <v>10.8</v>
      </c>
      <c r="D7" s="17">
        <v>9.3699999999999992</v>
      </c>
      <c r="E7" s="9">
        <v>10.43</v>
      </c>
      <c r="F7" s="9">
        <v>8.6999999999999993</v>
      </c>
      <c r="G7" s="9">
        <v>6.37</v>
      </c>
    </row>
    <row r="8" spans="2:7">
      <c r="B8" s="7">
        <v>11.5</v>
      </c>
      <c r="C8" s="17">
        <v>10.27</v>
      </c>
      <c r="D8" s="17">
        <v>9.93</v>
      </c>
      <c r="E8" s="9">
        <v>17.37</v>
      </c>
      <c r="F8" s="9">
        <v>9.8699999999999992</v>
      </c>
      <c r="G8" s="9">
        <v>10.23</v>
      </c>
    </row>
    <row r="9" spans="2:7">
      <c r="B9" s="7">
        <v>9.6999999999999993</v>
      </c>
      <c r="C9" s="17">
        <v>3.03</v>
      </c>
      <c r="D9" s="17">
        <v>9.23</v>
      </c>
      <c r="E9" s="9">
        <v>12.1</v>
      </c>
      <c r="F9" s="9">
        <v>7.03</v>
      </c>
      <c r="G9" s="9">
        <v>9.0299999999999994</v>
      </c>
    </row>
    <row r="10" spans="2:7">
      <c r="B10" s="7">
        <v>10.33</v>
      </c>
      <c r="C10" s="17">
        <v>7.4</v>
      </c>
      <c r="D10" s="17">
        <v>10.3</v>
      </c>
      <c r="E10" s="9">
        <v>14.97</v>
      </c>
      <c r="F10" s="9">
        <v>7.1</v>
      </c>
      <c r="G10" s="9">
        <v>10.17</v>
      </c>
    </row>
    <row r="11" spans="2:7">
      <c r="B11" s="7">
        <v>7.73</v>
      </c>
      <c r="C11" s="17">
        <v>8.5299999999999994</v>
      </c>
      <c r="D11" s="17">
        <v>9.77</v>
      </c>
      <c r="E11" s="9">
        <v>13.2</v>
      </c>
      <c r="F11" s="9">
        <v>10.57</v>
      </c>
      <c r="G11" s="9">
        <v>9.1999999999999993</v>
      </c>
    </row>
    <row r="12" spans="2:7">
      <c r="B12" s="7">
        <v>8.4</v>
      </c>
      <c r="C12" s="17">
        <v>6.5</v>
      </c>
      <c r="D12" s="17">
        <v>1.63</v>
      </c>
      <c r="E12" s="9">
        <v>17.329999999999998</v>
      </c>
      <c r="F12" s="9">
        <v>10.27</v>
      </c>
      <c r="G12" s="9">
        <v>9.8000000000000007</v>
      </c>
    </row>
    <row r="13" spans="2:7">
      <c r="B13" s="7">
        <v>11.43</v>
      </c>
      <c r="C13" s="17">
        <v>8.33</v>
      </c>
      <c r="D13" s="17">
        <v>9.23</v>
      </c>
      <c r="E13" s="9">
        <v>11.53</v>
      </c>
      <c r="F13" s="9">
        <v>11.03</v>
      </c>
      <c r="G13" s="9">
        <v>9.0299999999999994</v>
      </c>
    </row>
    <row r="14" spans="2:7">
      <c r="B14" s="7">
        <v>11.57</v>
      </c>
      <c r="C14" s="17">
        <v>8.5299999999999994</v>
      </c>
      <c r="D14" s="17">
        <v>9.6999999999999993</v>
      </c>
      <c r="E14" s="9">
        <v>2.63</v>
      </c>
      <c r="F14" s="9">
        <v>10.8</v>
      </c>
      <c r="G14" s="9">
        <v>8.77</v>
      </c>
    </row>
    <row r="15" spans="2:7">
      <c r="B15" s="7">
        <v>5.03</v>
      </c>
      <c r="C15" s="17">
        <v>12.23</v>
      </c>
      <c r="D15" s="17">
        <v>9.6</v>
      </c>
      <c r="E15" s="9">
        <v>9.1</v>
      </c>
      <c r="F15" s="9">
        <v>9.93</v>
      </c>
      <c r="G15" s="9">
        <v>9.17</v>
      </c>
    </row>
    <row r="16" spans="2:7">
      <c r="B16" s="7">
        <v>4.63</v>
      </c>
      <c r="C16" s="17">
        <v>10.5</v>
      </c>
      <c r="D16" s="17">
        <v>10.3</v>
      </c>
      <c r="E16" s="9">
        <v>8</v>
      </c>
      <c r="F16" s="9">
        <v>9.8000000000000007</v>
      </c>
      <c r="G16" s="9">
        <v>10.029999999999999</v>
      </c>
    </row>
    <row r="17" spans="2:7">
      <c r="B17" s="7">
        <v>10.5</v>
      </c>
      <c r="C17" s="17">
        <v>8.1300000000000008</v>
      </c>
      <c r="D17" s="17">
        <v>9.5299999999999994</v>
      </c>
      <c r="E17" s="9">
        <v>17.7</v>
      </c>
      <c r="F17" s="9">
        <v>9.8000000000000007</v>
      </c>
      <c r="G17" s="9">
        <v>9.9</v>
      </c>
    </row>
    <row r="18" spans="2:7">
      <c r="B18" s="7">
        <v>11.17</v>
      </c>
      <c r="C18" s="17">
        <v>10.43</v>
      </c>
      <c r="D18" s="17">
        <v>4.67</v>
      </c>
      <c r="E18" s="9">
        <v>16.899999999999999</v>
      </c>
      <c r="F18" s="9">
        <v>9.23</v>
      </c>
      <c r="G18" s="9">
        <v>9.33</v>
      </c>
    </row>
    <row r="19" spans="2:7">
      <c r="B19" s="7">
        <v>2.63</v>
      </c>
      <c r="C19" s="17">
        <v>10</v>
      </c>
      <c r="D19" s="17">
        <v>9.8000000000000007</v>
      </c>
      <c r="E19" s="9">
        <v>15.2</v>
      </c>
      <c r="F19" s="9">
        <v>10.17</v>
      </c>
      <c r="G19" s="9">
        <v>9.43</v>
      </c>
    </row>
    <row r="20" spans="2:7">
      <c r="B20" s="7">
        <v>6.63</v>
      </c>
      <c r="C20" s="17">
        <v>8.0299999999999994</v>
      </c>
      <c r="D20" s="17">
        <v>10.07</v>
      </c>
      <c r="E20" s="9">
        <v>5.33</v>
      </c>
      <c r="F20" s="9">
        <v>9.83</v>
      </c>
      <c r="G20" s="9">
        <v>9.5</v>
      </c>
    </row>
    <row r="21" spans="2:7">
      <c r="B21" s="7">
        <v>5.67</v>
      </c>
      <c r="C21" s="17">
        <v>8.57</v>
      </c>
      <c r="D21" s="17">
        <v>10</v>
      </c>
      <c r="E21" s="9">
        <v>8.4700000000000006</v>
      </c>
      <c r="F21" s="9">
        <v>11.73</v>
      </c>
      <c r="G21" s="9">
        <v>9.3000000000000007</v>
      </c>
    </row>
    <row r="22" spans="2:7">
      <c r="B22" s="7">
        <v>7.47</v>
      </c>
      <c r="C22" s="17">
        <v>8.3699999999999992</v>
      </c>
      <c r="D22" s="17">
        <v>8.77</v>
      </c>
      <c r="E22" s="9">
        <v>21.1</v>
      </c>
      <c r="F22" s="9">
        <v>10.37</v>
      </c>
      <c r="G22" s="9">
        <v>9.83</v>
      </c>
    </row>
    <row r="23" spans="2:7">
      <c r="B23" s="7">
        <v>11.7</v>
      </c>
      <c r="C23" s="17">
        <v>3.17</v>
      </c>
      <c r="D23" s="17">
        <v>2.37</v>
      </c>
      <c r="E23" s="9">
        <v>8.9700000000000006</v>
      </c>
      <c r="F23" s="9">
        <v>10.37</v>
      </c>
      <c r="G23" s="9">
        <v>8.67</v>
      </c>
    </row>
    <row r="24" spans="2:7">
      <c r="B24" s="7">
        <v>11.77</v>
      </c>
      <c r="C24" s="17">
        <v>12.4</v>
      </c>
      <c r="D24" s="17">
        <v>9.33</v>
      </c>
      <c r="E24" s="9">
        <v>7.67</v>
      </c>
      <c r="F24" s="9">
        <v>8.57</v>
      </c>
      <c r="G24" s="9">
        <v>9.67</v>
      </c>
    </row>
    <row r="25" spans="2:7">
      <c r="B25" s="7">
        <v>2.8</v>
      </c>
      <c r="C25" s="17">
        <v>11.47</v>
      </c>
      <c r="D25" s="17">
        <v>10.43</v>
      </c>
      <c r="E25" s="9">
        <v>16.600000000000001</v>
      </c>
      <c r="F25" s="9">
        <v>7.5</v>
      </c>
      <c r="G25" s="9">
        <v>10.130000000000001</v>
      </c>
    </row>
    <row r="26" spans="2:7">
      <c r="B26" s="7">
        <v>12.47</v>
      </c>
      <c r="C26" s="17">
        <v>2.73</v>
      </c>
      <c r="D26" s="17">
        <v>9.57</v>
      </c>
      <c r="E26" s="9">
        <v>16.100000000000001</v>
      </c>
      <c r="F26" s="9">
        <v>10.93</v>
      </c>
      <c r="G26" s="9">
        <v>9.8699999999999992</v>
      </c>
    </row>
    <row r="27" spans="2:7">
      <c r="B27" s="7">
        <v>10.3</v>
      </c>
      <c r="C27" s="17">
        <v>3.83</v>
      </c>
      <c r="D27" s="17">
        <v>10.130000000000001</v>
      </c>
      <c r="E27" s="9">
        <v>8.5</v>
      </c>
      <c r="F27" s="9">
        <v>10.199999999999999</v>
      </c>
      <c r="G27" s="9">
        <v>10.57</v>
      </c>
    </row>
    <row r="28" spans="2:7">
      <c r="B28" s="7">
        <v>8.5299999999999994</v>
      </c>
      <c r="C28" s="17">
        <v>11</v>
      </c>
      <c r="D28" s="17">
        <v>9.73</v>
      </c>
      <c r="E28" s="9">
        <v>25</v>
      </c>
      <c r="F28" s="9">
        <v>10.57</v>
      </c>
      <c r="G28" s="9">
        <v>9.43</v>
      </c>
    </row>
    <row r="29" spans="2:7">
      <c r="B29" s="7">
        <v>9.1</v>
      </c>
      <c r="C29" s="17">
        <v>9.17</v>
      </c>
      <c r="D29" s="17">
        <v>9.6300000000000008</v>
      </c>
      <c r="E29" s="9">
        <v>18.57</v>
      </c>
      <c r="F29" s="9">
        <v>5.07</v>
      </c>
      <c r="G29" s="9">
        <v>10</v>
      </c>
    </row>
    <row r="30" spans="2:7">
      <c r="B30" s="7">
        <v>11.4</v>
      </c>
      <c r="C30" s="17">
        <v>8.6999999999999993</v>
      </c>
      <c r="D30" s="17">
        <v>9.07</v>
      </c>
      <c r="E30" s="9">
        <v>25</v>
      </c>
      <c r="F30" s="9">
        <v>10.17</v>
      </c>
      <c r="G30" s="9">
        <v>9.4</v>
      </c>
    </row>
    <row r="31" spans="2:7">
      <c r="B31" s="7">
        <v>11</v>
      </c>
      <c r="C31" s="17">
        <v>6.93</v>
      </c>
      <c r="D31" s="17">
        <v>9.6</v>
      </c>
      <c r="E31" s="9">
        <v>6.37</v>
      </c>
      <c r="F31" s="9">
        <v>10.3</v>
      </c>
      <c r="G31" s="9">
        <v>6.7</v>
      </c>
    </row>
    <row r="32" spans="2:7">
      <c r="B32" s="7">
        <v>7.67</v>
      </c>
      <c r="C32" s="17">
        <v>10</v>
      </c>
      <c r="D32" s="17">
        <v>9.33</v>
      </c>
      <c r="E32" s="9">
        <v>12.5</v>
      </c>
      <c r="F32" s="9">
        <v>9.8000000000000007</v>
      </c>
      <c r="G32" s="9">
        <v>9.4</v>
      </c>
    </row>
    <row r="33" spans="2:7">
      <c r="B33" s="7">
        <v>4.97</v>
      </c>
      <c r="C33" s="17">
        <v>8.27</v>
      </c>
      <c r="D33" s="17">
        <v>9.57</v>
      </c>
      <c r="E33" s="9">
        <v>25</v>
      </c>
      <c r="F33" s="9">
        <v>10.1</v>
      </c>
      <c r="G33" s="9">
        <v>9.77</v>
      </c>
    </row>
    <row r="34" spans="2:7">
      <c r="B34" s="7">
        <v>6.93</v>
      </c>
      <c r="C34" s="17">
        <v>11.57</v>
      </c>
      <c r="D34" s="17">
        <v>9.67</v>
      </c>
      <c r="E34" s="9">
        <v>1.47</v>
      </c>
      <c r="F34" s="9">
        <v>9.9</v>
      </c>
      <c r="G34" s="9">
        <v>9.1300000000000008</v>
      </c>
    </row>
    <row r="35" spans="2:7">
      <c r="B35" s="7">
        <v>11.33</v>
      </c>
      <c r="C35" s="17">
        <v>6.83</v>
      </c>
      <c r="D35" s="17">
        <v>10.33</v>
      </c>
      <c r="E35" s="9">
        <v>12.83</v>
      </c>
      <c r="F35" s="9">
        <v>9.6300000000000008</v>
      </c>
      <c r="G35" s="9">
        <v>10</v>
      </c>
    </row>
    <row r="36" spans="2:7">
      <c r="B36" s="7">
        <v>10.73</v>
      </c>
      <c r="C36" s="17">
        <v>10.57</v>
      </c>
      <c r="D36" s="17">
        <v>9.6</v>
      </c>
      <c r="E36" s="9">
        <v>19.93</v>
      </c>
      <c r="F36" s="9">
        <v>10.17</v>
      </c>
      <c r="G36" s="9">
        <v>6.93</v>
      </c>
    </row>
    <row r="37" spans="2:7">
      <c r="B37" s="7">
        <v>9.3699999999999992</v>
      </c>
      <c r="C37" s="17">
        <v>9.77</v>
      </c>
      <c r="D37" s="17">
        <v>10.77</v>
      </c>
      <c r="E37" s="9">
        <v>5.43</v>
      </c>
      <c r="F37" s="9">
        <v>10.07</v>
      </c>
      <c r="G37" s="9">
        <v>9.1999999999999993</v>
      </c>
    </row>
    <row r="38" spans="2:7">
      <c r="B38" s="7">
        <v>10.23</v>
      </c>
      <c r="C38" s="17">
        <v>11.27</v>
      </c>
      <c r="D38" s="17">
        <v>9.23</v>
      </c>
      <c r="E38" s="9">
        <v>7.7</v>
      </c>
      <c r="F38" s="9">
        <v>10</v>
      </c>
      <c r="G38" s="9">
        <v>10</v>
      </c>
    </row>
    <row r="39" spans="2:7">
      <c r="B39" s="7">
        <v>11.1</v>
      </c>
      <c r="C39" s="17">
        <v>8.67</v>
      </c>
      <c r="D39" s="17">
        <v>9.83</v>
      </c>
      <c r="E39" s="9">
        <v>14.23</v>
      </c>
      <c r="F39" s="9">
        <v>9.77</v>
      </c>
      <c r="G39" s="9">
        <v>10.199999999999999</v>
      </c>
    </row>
    <row r="40" spans="2:7">
      <c r="B40" s="7">
        <v>11.23</v>
      </c>
      <c r="C40" s="17">
        <v>2.33</v>
      </c>
      <c r="D40" s="17">
        <v>10.7</v>
      </c>
      <c r="E40" s="9">
        <v>13.03</v>
      </c>
      <c r="F40" s="9">
        <v>10.73</v>
      </c>
      <c r="G40" s="9">
        <v>9.83</v>
      </c>
    </row>
    <row r="41" spans="2:7">
      <c r="B41" s="7">
        <v>10.5</v>
      </c>
      <c r="C41" s="17">
        <v>8.67</v>
      </c>
      <c r="D41" s="17">
        <v>9.5299999999999994</v>
      </c>
      <c r="E41" s="9">
        <v>23.1</v>
      </c>
      <c r="F41" s="9">
        <v>10.37</v>
      </c>
      <c r="G41" s="9">
        <v>9.0299999999999994</v>
      </c>
    </row>
    <row r="42" spans="2:7">
      <c r="B42" s="7">
        <v>9.93</v>
      </c>
      <c r="C42" s="17">
        <v>4.7</v>
      </c>
      <c r="D42" s="17">
        <v>9.9</v>
      </c>
      <c r="E42" s="9">
        <v>21.87</v>
      </c>
      <c r="F42" s="9">
        <v>10.47</v>
      </c>
      <c r="G42" s="9">
        <v>9.6300000000000008</v>
      </c>
    </row>
    <row r="43" spans="2:7">
      <c r="B43" s="7">
        <v>11.17</v>
      </c>
      <c r="C43" s="17">
        <v>11.13</v>
      </c>
      <c r="D43" s="17">
        <v>10.029999999999999</v>
      </c>
      <c r="E43" s="9">
        <v>17.03</v>
      </c>
      <c r="F43" s="9">
        <v>6.17</v>
      </c>
      <c r="G43" s="9">
        <v>9.6300000000000008</v>
      </c>
    </row>
    <row r="44" spans="2:7">
      <c r="B44" s="7">
        <v>12.7</v>
      </c>
      <c r="C44" s="17">
        <v>8.27</v>
      </c>
      <c r="D44" s="17">
        <v>11.77</v>
      </c>
      <c r="E44" s="9">
        <v>25</v>
      </c>
      <c r="F44" s="9">
        <v>7.83</v>
      </c>
      <c r="G44" s="9">
        <v>8.93</v>
      </c>
    </row>
    <row r="45" spans="2:7">
      <c r="B45" s="7">
        <v>7.2</v>
      </c>
      <c r="C45" s="17">
        <v>9.93</v>
      </c>
      <c r="D45" s="17">
        <v>9.8699999999999992</v>
      </c>
      <c r="E45" s="9">
        <v>1.7</v>
      </c>
      <c r="F45" s="9">
        <v>10.07</v>
      </c>
      <c r="G45" s="9">
        <v>10.93</v>
      </c>
    </row>
    <row r="46" spans="2:7">
      <c r="B46" s="7">
        <v>10.199999999999999</v>
      </c>
      <c r="C46" s="17">
        <v>6.97</v>
      </c>
      <c r="D46" s="17">
        <v>9.23</v>
      </c>
      <c r="E46" s="9">
        <v>7.6</v>
      </c>
      <c r="F46" s="9">
        <v>9.67</v>
      </c>
      <c r="G46" s="9">
        <v>9.77</v>
      </c>
    </row>
    <row r="47" spans="2:7">
      <c r="B47" s="7">
        <v>11.97</v>
      </c>
      <c r="C47" s="17">
        <v>3.87</v>
      </c>
      <c r="D47" s="17">
        <v>9.8699999999999992</v>
      </c>
      <c r="E47" s="9">
        <v>8.6999999999999993</v>
      </c>
      <c r="F47" s="9">
        <v>10.17</v>
      </c>
      <c r="G47" s="9">
        <v>10.23</v>
      </c>
    </row>
    <row r="48" spans="2:7">
      <c r="B48" s="7">
        <v>11.27</v>
      </c>
      <c r="C48" s="17">
        <v>8.5</v>
      </c>
      <c r="D48" s="17">
        <v>9.4</v>
      </c>
      <c r="E48" s="9">
        <v>12.03</v>
      </c>
      <c r="F48" s="9">
        <v>10.3</v>
      </c>
      <c r="G48" s="9">
        <v>5.87</v>
      </c>
    </row>
    <row r="49" spans="2:7">
      <c r="B49" s="7">
        <v>7.47</v>
      </c>
      <c r="C49" s="17">
        <v>3.43</v>
      </c>
      <c r="D49" s="17">
        <v>9.4</v>
      </c>
      <c r="E49" s="9">
        <v>6.27</v>
      </c>
      <c r="F49" s="9">
        <v>10.6</v>
      </c>
      <c r="G49" s="9">
        <v>9.27</v>
      </c>
    </row>
    <row r="50" spans="2:7">
      <c r="B50" s="7">
        <v>10.83</v>
      </c>
      <c r="C50" s="17">
        <v>10.53</v>
      </c>
      <c r="D50" s="17">
        <v>9.6</v>
      </c>
      <c r="E50" s="9">
        <v>25</v>
      </c>
      <c r="F50" s="9">
        <v>9.9</v>
      </c>
      <c r="G50" s="9">
        <v>9.33</v>
      </c>
    </row>
    <row r="51" spans="2:7">
      <c r="B51" s="7">
        <v>11.77</v>
      </c>
      <c r="C51" s="17">
        <v>10.93</v>
      </c>
      <c r="D51" s="17">
        <v>10.5</v>
      </c>
      <c r="E51" s="9">
        <v>6.5</v>
      </c>
      <c r="F51" s="9">
        <v>9.83</v>
      </c>
      <c r="G51" s="9">
        <v>9.1999999999999993</v>
      </c>
    </row>
    <row r="52" spans="2:7">
      <c r="B52" s="7">
        <v>11.97</v>
      </c>
      <c r="C52" s="17">
        <v>2.4300000000000002</v>
      </c>
      <c r="D52" s="17">
        <v>9.6</v>
      </c>
      <c r="E52" s="9">
        <v>6.17</v>
      </c>
      <c r="F52" s="9">
        <v>9.9700000000000006</v>
      </c>
      <c r="G52" s="9">
        <v>9.33</v>
      </c>
    </row>
    <row r="53" spans="2:7">
      <c r="B53" s="7">
        <v>10.73</v>
      </c>
      <c r="C53" s="17">
        <v>9.27</v>
      </c>
      <c r="D53" s="17">
        <v>10.17</v>
      </c>
      <c r="E53" s="9">
        <v>25</v>
      </c>
      <c r="F53" s="9">
        <v>10.199999999999999</v>
      </c>
      <c r="G53" s="9">
        <v>10.029999999999999</v>
      </c>
    </row>
    <row r="54" spans="2:7">
      <c r="B54" s="7">
        <v>6.9</v>
      </c>
      <c r="C54" s="17">
        <v>5.87</v>
      </c>
      <c r="D54" s="17">
        <v>6.8</v>
      </c>
      <c r="E54" s="9">
        <v>14.8</v>
      </c>
      <c r="F54" s="9">
        <v>10.6</v>
      </c>
      <c r="G54" s="9">
        <v>9.9700000000000006</v>
      </c>
    </row>
    <row r="55" spans="2:7">
      <c r="B55" s="7">
        <v>10.8</v>
      </c>
      <c r="C55" s="7">
        <v>7.17</v>
      </c>
      <c r="D55" s="17">
        <v>10.17</v>
      </c>
      <c r="E55" s="9">
        <v>23.97</v>
      </c>
      <c r="F55" s="9">
        <v>10.63</v>
      </c>
      <c r="G55" s="9">
        <v>9.6999999999999993</v>
      </c>
    </row>
    <row r="56" spans="2:7">
      <c r="B56" s="7">
        <v>11.77</v>
      </c>
      <c r="C56" s="17">
        <v>2.73</v>
      </c>
      <c r="D56" s="17">
        <v>10.07</v>
      </c>
      <c r="E56" s="9">
        <v>25</v>
      </c>
      <c r="F56" s="9">
        <v>10.33</v>
      </c>
      <c r="G56" s="9">
        <v>9.1999999999999993</v>
      </c>
    </row>
    <row r="57" spans="2:7">
      <c r="B57" s="7">
        <v>6.1</v>
      </c>
      <c r="C57" s="17">
        <v>10.4</v>
      </c>
      <c r="D57" s="17">
        <v>8.9700000000000006</v>
      </c>
      <c r="E57" s="9">
        <v>5.63</v>
      </c>
      <c r="F57" s="9">
        <v>10.17</v>
      </c>
      <c r="G57" s="9">
        <v>7.37</v>
      </c>
    </row>
    <row r="58" spans="2:7">
      <c r="B58" s="7">
        <v>8.6999999999999993</v>
      </c>
      <c r="C58" s="17">
        <v>7.63</v>
      </c>
      <c r="D58" s="17">
        <v>9.5</v>
      </c>
      <c r="E58" s="9">
        <v>1.6</v>
      </c>
      <c r="F58" s="9">
        <v>10.4</v>
      </c>
      <c r="G58" s="9">
        <v>9.5299999999999994</v>
      </c>
    </row>
    <row r="59" spans="2:7">
      <c r="B59" s="7">
        <v>7.33</v>
      </c>
      <c r="C59" s="17">
        <v>4.97</v>
      </c>
      <c r="D59" s="17">
        <v>9.83</v>
      </c>
      <c r="E59" s="9">
        <v>5.17</v>
      </c>
      <c r="F59" s="9">
        <v>10.43</v>
      </c>
      <c r="G59" s="9">
        <v>10.07</v>
      </c>
    </row>
    <row r="60" spans="2:7">
      <c r="B60" s="7">
        <v>6.77</v>
      </c>
      <c r="C60" s="17">
        <v>8.6999999999999993</v>
      </c>
      <c r="D60" s="17">
        <v>10.9</v>
      </c>
      <c r="E60" s="9">
        <v>15</v>
      </c>
      <c r="F60" s="9">
        <v>10.97</v>
      </c>
      <c r="G60" s="9">
        <v>9.67</v>
      </c>
    </row>
    <row r="61" spans="2:7">
      <c r="B61" s="7">
        <v>11.27</v>
      </c>
      <c r="C61" s="17">
        <v>3.07</v>
      </c>
      <c r="D61" s="17">
        <v>9.6</v>
      </c>
      <c r="E61" s="9">
        <v>15.23</v>
      </c>
      <c r="F61" s="9">
        <v>9.5</v>
      </c>
      <c r="G61" s="9">
        <v>10.43</v>
      </c>
    </row>
    <row r="62" spans="2:7">
      <c r="B62" s="7">
        <v>11.6</v>
      </c>
      <c r="C62" s="17">
        <v>10.27</v>
      </c>
      <c r="D62" s="17">
        <v>9.8699999999999992</v>
      </c>
      <c r="E62" s="9">
        <v>25</v>
      </c>
      <c r="F62" s="9">
        <v>9.93</v>
      </c>
      <c r="G62" s="9">
        <v>9.6999999999999993</v>
      </c>
    </row>
    <row r="63" spans="2:7">
      <c r="B63" s="7">
        <v>11.73</v>
      </c>
      <c r="C63" s="17">
        <v>7.43</v>
      </c>
      <c r="D63" s="17">
        <v>11.37</v>
      </c>
      <c r="E63" s="9">
        <v>15.8</v>
      </c>
      <c r="F63" s="9">
        <v>9.9700000000000006</v>
      </c>
      <c r="G63" s="9">
        <v>10.53</v>
      </c>
    </row>
    <row r="64" spans="2:7">
      <c r="B64" s="7">
        <v>10.67</v>
      </c>
      <c r="C64" s="17">
        <v>9.6300000000000008</v>
      </c>
      <c r="D64" s="17">
        <v>11.73</v>
      </c>
      <c r="E64" s="9">
        <v>6.43</v>
      </c>
      <c r="F64" s="9">
        <v>9.4700000000000006</v>
      </c>
      <c r="G64" s="9">
        <v>9.9</v>
      </c>
    </row>
    <row r="65" spans="2:7">
      <c r="B65" s="7">
        <v>2.8</v>
      </c>
      <c r="C65" s="17">
        <v>7.27</v>
      </c>
      <c r="D65" s="17">
        <v>7.53</v>
      </c>
      <c r="E65" s="9">
        <v>14.5</v>
      </c>
      <c r="F65" s="9">
        <v>9.43</v>
      </c>
      <c r="G65" s="9">
        <v>9.8699999999999992</v>
      </c>
    </row>
    <row r="66" spans="2:7">
      <c r="B66" s="7">
        <v>11.63</v>
      </c>
      <c r="C66" s="17">
        <v>11.27</v>
      </c>
      <c r="D66" s="17">
        <v>9.27</v>
      </c>
      <c r="E66" s="9">
        <v>8.6300000000000008</v>
      </c>
      <c r="F66" s="9">
        <v>10.3</v>
      </c>
      <c r="G66" s="9">
        <v>7.57</v>
      </c>
    </row>
    <row r="67" spans="2:7">
      <c r="B67" s="7">
        <v>12.07</v>
      </c>
      <c r="C67" s="17">
        <v>10.6</v>
      </c>
      <c r="D67" s="17">
        <v>9.6</v>
      </c>
      <c r="E67" s="9">
        <v>9.3699999999999992</v>
      </c>
      <c r="F67" s="9">
        <v>10.97</v>
      </c>
      <c r="G67" s="9">
        <v>9.4700000000000006</v>
      </c>
    </row>
    <row r="68" spans="2:7">
      <c r="B68" s="7">
        <v>11.37</v>
      </c>
      <c r="C68" s="17">
        <v>2.6</v>
      </c>
      <c r="D68" s="17">
        <v>10.33</v>
      </c>
      <c r="E68" s="9">
        <v>6.03</v>
      </c>
      <c r="F68" s="9">
        <v>10.53</v>
      </c>
      <c r="G68" s="9">
        <v>9.57</v>
      </c>
    </row>
    <row r="69" spans="2:7">
      <c r="B69" s="7">
        <v>10.77</v>
      </c>
      <c r="C69" s="17">
        <v>9.67</v>
      </c>
      <c r="D69" s="17">
        <v>10.47</v>
      </c>
      <c r="E69" s="9">
        <v>13.8</v>
      </c>
      <c r="F69" s="9">
        <v>10.029999999999999</v>
      </c>
      <c r="G69" s="9">
        <v>9.27</v>
      </c>
    </row>
    <row r="70" spans="2:7">
      <c r="B70" s="7">
        <v>8.3000000000000007</v>
      </c>
      <c r="C70" s="17">
        <v>11.77</v>
      </c>
      <c r="D70" s="17">
        <v>9.8699999999999992</v>
      </c>
      <c r="E70" s="9">
        <v>23</v>
      </c>
      <c r="F70" s="9">
        <v>10.1</v>
      </c>
      <c r="G70" s="9">
        <v>9.8000000000000007</v>
      </c>
    </row>
    <row r="71" spans="2:7">
      <c r="B71" s="7">
        <v>12.73</v>
      </c>
      <c r="C71" s="17">
        <v>2.5299999999999998</v>
      </c>
      <c r="D71" s="17">
        <v>9.83</v>
      </c>
      <c r="E71" s="9">
        <v>6.87</v>
      </c>
      <c r="F71" s="9">
        <v>10.8</v>
      </c>
      <c r="G71" s="9">
        <v>9.4700000000000006</v>
      </c>
    </row>
    <row r="72" spans="2:7">
      <c r="B72" s="7">
        <v>12.17</v>
      </c>
      <c r="C72" s="17">
        <v>8.07</v>
      </c>
      <c r="D72" s="17">
        <v>10.130000000000001</v>
      </c>
      <c r="E72" s="9">
        <v>14.93</v>
      </c>
      <c r="F72" s="9">
        <v>10.17</v>
      </c>
      <c r="G72" s="9">
        <v>9.07</v>
      </c>
    </row>
    <row r="73" spans="2:7">
      <c r="B73" s="7">
        <v>9.9700000000000006</v>
      </c>
      <c r="C73" s="17">
        <v>10.33</v>
      </c>
      <c r="D73" s="17">
        <v>10.3</v>
      </c>
      <c r="E73" s="9">
        <v>25</v>
      </c>
      <c r="F73" s="9">
        <v>10.199999999999999</v>
      </c>
      <c r="G73" s="9">
        <v>9.73</v>
      </c>
    </row>
    <row r="74" spans="2:7">
      <c r="B74" s="7">
        <v>12.3</v>
      </c>
      <c r="C74" s="17">
        <v>11.1</v>
      </c>
      <c r="D74" s="17">
        <v>10.6</v>
      </c>
      <c r="E74" s="9">
        <v>9.8699999999999992</v>
      </c>
      <c r="F74" s="9">
        <v>10.33</v>
      </c>
      <c r="G74" s="9">
        <v>9.43</v>
      </c>
    </row>
    <row r="75" spans="2:7">
      <c r="B75" s="7">
        <v>8.93</v>
      </c>
      <c r="C75" s="17">
        <v>7.53</v>
      </c>
      <c r="D75" s="17">
        <v>9.3000000000000007</v>
      </c>
      <c r="E75" s="9">
        <v>9.1300000000000008</v>
      </c>
      <c r="F75" s="9">
        <v>10.4</v>
      </c>
      <c r="G75" s="9">
        <v>9.1300000000000008</v>
      </c>
    </row>
    <row r="76" spans="2:7">
      <c r="B76" s="7">
        <v>11.03</v>
      </c>
      <c r="C76" s="17">
        <v>3.53</v>
      </c>
      <c r="D76" s="17">
        <v>9.5</v>
      </c>
      <c r="E76" s="9">
        <v>15.9</v>
      </c>
      <c r="F76" s="9">
        <v>10.33</v>
      </c>
      <c r="G76" s="9">
        <v>10.1</v>
      </c>
    </row>
    <row r="77" spans="2:7">
      <c r="B77" s="7">
        <v>11.4</v>
      </c>
      <c r="C77" s="17">
        <v>3.37</v>
      </c>
      <c r="D77" s="17">
        <v>10.57</v>
      </c>
      <c r="E77" s="9">
        <v>17.399999999999999</v>
      </c>
      <c r="F77" s="9">
        <v>7.07</v>
      </c>
      <c r="G77" s="9">
        <v>9.5299999999999994</v>
      </c>
    </row>
    <row r="78" spans="2:7">
      <c r="B78" s="7">
        <v>11.17</v>
      </c>
      <c r="C78" s="17">
        <v>9.9700000000000006</v>
      </c>
      <c r="D78" s="17">
        <v>9.6</v>
      </c>
      <c r="E78" s="9">
        <v>5.23</v>
      </c>
      <c r="F78" s="9">
        <v>9.83</v>
      </c>
      <c r="G78" s="9">
        <v>9.5</v>
      </c>
    </row>
    <row r="79" spans="2:7">
      <c r="B79" s="7">
        <v>11.9</v>
      </c>
      <c r="C79" s="17">
        <v>11.43</v>
      </c>
      <c r="D79" s="17">
        <v>9.4700000000000006</v>
      </c>
      <c r="E79" s="9">
        <v>5.37</v>
      </c>
      <c r="F79" s="9">
        <v>9.8699999999999992</v>
      </c>
      <c r="G79" s="9">
        <v>8.8000000000000007</v>
      </c>
    </row>
    <row r="80" spans="2:7">
      <c r="B80" s="7">
        <v>11.43</v>
      </c>
      <c r="C80" s="17">
        <v>3.13</v>
      </c>
      <c r="D80" s="17">
        <v>9.6300000000000008</v>
      </c>
      <c r="E80" s="9">
        <v>14.43</v>
      </c>
      <c r="F80" s="9">
        <v>10.83</v>
      </c>
      <c r="G80" s="9">
        <v>9.77</v>
      </c>
    </row>
    <row r="81" spans="2:7">
      <c r="B81" s="7">
        <v>11.43</v>
      </c>
      <c r="C81" s="17">
        <v>7.97</v>
      </c>
      <c r="D81" s="17">
        <v>9.4</v>
      </c>
      <c r="E81" s="9">
        <v>17.43</v>
      </c>
      <c r="F81" s="9">
        <v>10.33</v>
      </c>
      <c r="G81" s="9">
        <v>9.1999999999999993</v>
      </c>
    </row>
    <row r="82" spans="2:7">
      <c r="B82" s="7">
        <v>11.13</v>
      </c>
      <c r="C82" s="17">
        <v>2.7</v>
      </c>
      <c r="D82" s="17">
        <v>9.6300000000000008</v>
      </c>
      <c r="E82" s="9">
        <v>17.07</v>
      </c>
      <c r="F82" s="9">
        <v>9.8000000000000007</v>
      </c>
      <c r="G82" s="9">
        <v>9.6</v>
      </c>
    </row>
    <row r="83" spans="2:7">
      <c r="B83" s="7">
        <v>11.3</v>
      </c>
      <c r="C83" s="17">
        <v>2.4300000000000002</v>
      </c>
      <c r="D83" s="17">
        <v>9.67</v>
      </c>
      <c r="E83" s="9">
        <v>12.1</v>
      </c>
      <c r="F83" s="9">
        <v>10.3</v>
      </c>
      <c r="G83" s="9">
        <v>10.029999999999999</v>
      </c>
    </row>
    <row r="84" spans="2:7">
      <c r="B84" s="7">
        <v>11.47</v>
      </c>
      <c r="C84" s="17">
        <v>6.3</v>
      </c>
      <c r="D84" s="17">
        <v>9.73</v>
      </c>
      <c r="E84" s="9">
        <v>7.53</v>
      </c>
      <c r="F84" s="9">
        <v>9.43</v>
      </c>
      <c r="G84" s="9">
        <v>10.029999999999999</v>
      </c>
    </row>
    <row r="85" spans="2:7">
      <c r="B85" s="7">
        <v>11.03</v>
      </c>
      <c r="C85" s="17">
        <v>7.63</v>
      </c>
      <c r="D85" s="17">
        <v>9.6300000000000008</v>
      </c>
      <c r="E85" s="9">
        <v>12.47</v>
      </c>
      <c r="F85" s="9">
        <v>5.6</v>
      </c>
      <c r="G85" s="9">
        <v>8.9700000000000006</v>
      </c>
    </row>
    <row r="86" spans="2:7">
      <c r="B86" s="7">
        <v>8.9</v>
      </c>
      <c r="C86" s="17">
        <v>3.43</v>
      </c>
      <c r="D86" s="17">
        <v>3.9</v>
      </c>
      <c r="E86" s="9">
        <v>16.93</v>
      </c>
      <c r="F86" s="9">
        <v>10.9</v>
      </c>
      <c r="G86" s="9">
        <v>9.3000000000000007</v>
      </c>
    </row>
    <row r="87" spans="2:7">
      <c r="B87" s="7">
        <v>10.97</v>
      </c>
      <c r="C87" s="17">
        <v>2.2000000000000002</v>
      </c>
      <c r="D87" s="17">
        <v>10.27</v>
      </c>
      <c r="E87" s="9">
        <v>20.57</v>
      </c>
      <c r="F87" s="9">
        <v>10.199999999999999</v>
      </c>
      <c r="G87" s="9">
        <v>9.1999999999999993</v>
      </c>
    </row>
    <row r="88" spans="2:7">
      <c r="B88" s="7">
        <v>11.27</v>
      </c>
      <c r="C88" s="17">
        <v>5.33</v>
      </c>
      <c r="D88" s="17">
        <v>9.23</v>
      </c>
      <c r="E88" s="9">
        <v>13.37</v>
      </c>
      <c r="F88" s="9">
        <v>10.97</v>
      </c>
      <c r="G88" s="9">
        <v>9.9</v>
      </c>
    </row>
    <row r="89" spans="2:7">
      <c r="B89" s="7">
        <v>11.37</v>
      </c>
      <c r="C89" s="17">
        <v>8</v>
      </c>
      <c r="D89" s="17">
        <v>9.27</v>
      </c>
      <c r="E89" s="9">
        <v>5.4</v>
      </c>
      <c r="F89" s="9">
        <v>4.7699999999999996</v>
      </c>
      <c r="G89" s="9">
        <v>10.199999999999999</v>
      </c>
    </row>
    <row r="90" spans="2:7">
      <c r="B90" s="7">
        <v>11.3</v>
      </c>
      <c r="C90" s="17">
        <v>6.67</v>
      </c>
      <c r="D90" s="17">
        <v>10.9</v>
      </c>
      <c r="E90" s="9">
        <v>14.57</v>
      </c>
      <c r="F90" s="9">
        <v>9.9700000000000006</v>
      </c>
      <c r="G90" s="9">
        <v>9.5299999999999994</v>
      </c>
    </row>
    <row r="91" spans="2:7">
      <c r="B91" s="7">
        <v>11.6</v>
      </c>
      <c r="C91" s="17">
        <v>10.130000000000001</v>
      </c>
      <c r="D91" s="17">
        <v>9.1300000000000008</v>
      </c>
      <c r="E91" s="9">
        <v>13.53</v>
      </c>
      <c r="F91" s="9">
        <v>10.3</v>
      </c>
      <c r="G91" s="9">
        <v>9.6999999999999993</v>
      </c>
    </row>
    <row r="92" spans="2:7">
      <c r="B92" s="7">
        <v>11.3</v>
      </c>
      <c r="C92" s="17">
        <v>11.6</v>
      </c>
      <c r="D92" s="17">
        <v>9.73</v>
      </c>
      <c r="E92" s="9">
        <v>17</v>
      </c>
      <c r="F92" s="9">
        <v>11.1</v>
      </c>
      <c r="G92" s="9">
        <v>10.43</v>
      </c>
    </row>
    <row r="93" spans="2:7">
      <c r="B93" s="7">
        <v>9.1300000000000008</v>
      </c>
      <c r="C93" s="17">
        <v>8.8000000000000007</v>
      </c>
      <c r="D93" s="17">
        <v>9.9700000000000006</v>
      </c>
      <c r="E93" s="9">
        <v>25</v>
      </c>
      <c r="F93" s="9">
        <v>10.1</v>
      </c>
      <c r="G93" s="9">
        <v>10</v>
      </c>
    </row>
    <row r="94" spans="2:7">
      <c r="B94" s="7">
        <v>8.93</v>
      </c>
      <c r="C94" s="17">
        <v>11.4</v>
      </c>
      <c r="D94" s="17">
        <v>13.03</v>
      </c>
      <c r="E94" s="9">
        <v>7.8</v>
      </c>
      <c r="F94" s="9">
        <v>10.83</v>
      </c>
      <c r="G94" s="9">
        <v>10.029999999999999</v>
      </c>
    </row>
    <row r="95" spans="2:7">
      <c r="B95" s="7">
        <v>11.27</v>
      </c>
      <c r="C95" s="17">
        <v>3.47</v>
      </c>
      <c r="D95" s="17">
        <v>11.8</v>
      </c>
      <c r="E95" s="9">
        <v>19.23</v>
      </c>
      <c r="F95" s="9">
        <v>9.67</v>
      </c>
      <c r="G95" s="9">
        <v>9.8000000000000007</v>
      </c>
    </row>
    <row r="96" spans="2:7">
      <c r="B96" s="7">
        <v>11.23</v>
      </c>
      <c r="C96" s="17">
        <v>9.23</v>
      </c>
      <c r="D96" s="17">
        <v>10.7</v>
      </c>
      <c r="E96" s="9">
        <v>8.5</v>
      </c>
      <c r="F96" s="9">
        <v>10.93</v>
      </c>
      <c r="G96" s="9">
        <v>9.17</v>
      </c>
    </row>
    <row r="97" spans="2:10">
      <c r="B97" s="7">
        <v>10.47</v>
      </c>
      <c r="C97" s="17">
        <v>9.67</v>
      </c>
      <c r="D97" s="17">
        <v>9.4</v>
      </c>
      <c r="E97" s="9">
        <v>25</v>
      </c>
      <c r="F97" s="9">
        <v>9.77</v>
      </c>
      <c r="G97" s="9">
        <v>9.4</v>
      </c>
    </row>
    <row r="98" spans="2:10">
      <c r="B98" s="7">
        <v>9.6</v>
      </c>
      <c r="C98" s="17">
        <v>8.3699999999999992</v>
      </c>
      <c r="D98" s="17">
        <v>9.1999999999999993</v>
      </c>
      <c r="E98" s="9">
        <v>15.3</v>
      </c>
      <c r="F98" s="9">
        <v>9.1999999999999993</v>
      </c>
      <c r="G98" s="9">
        <v>9.93</v>
      </c>
    </row>
    <row r="99" spans="2:10">
      <c r="B99" s="7">
        <v>10.7</v>
      </c>
      <c r="C99" s="17">
        <v>11.33</v>
      </c>
      <c r="D99" s="17">
        <v>9.1999999999999993</v>
      </c>
      <c r="E99" s="9">
        <v>5.77</v>
      </c>
      <c r="F99" s="9">
        <v>9.67</v>
      </c>
      <c r="G99" s="9">
        <v>9.4700000000000006</v>
      </c>
    </row>
    <row r="100" spans="2:10">
      <c r="B100" s="7">
        <v>8.67</v>
      </c>
      <c r="C100" s="17">
        <v>10.97</v>
      </c>
      <c r="D100" s="17">
        <v>9.8699999999999992</v>
      </c>
      <c r="E100" s="9">
        <v>7.87</v>
      </c>
      <c r="F100" s="9">
        <v>10.07</v>
      </c>
      <c r="G100" s="9">
        <v>10</v>
      </c>
    </row>
    <row r="101" spans="2:10">
      <c r="B101" s="7">
        <v>11.2</v>
      </c>
      <c r="C101" s="17">
        <v>1.83</v>
      </c>
      <c r="D101" s="17">
        <v>9.6</v>
      </c>
      <c r="E101" s="9">
        <v>19.93</v>
      </c>
      <c r="F101" s="9">
        <v>10.43</v>
      </c>
      <c r="G101" s="9">
        <v>9.83</v>
      </c>
    </row>
    <row r="102" spans="2:10">
      <c r="B102" s="10">
        <v>6.43</v>
      </c>
      <c r="C102" s="18">
        <v>10.83</v>
      </c>
      <c r="D102" s="18">
        <v>10.27</v>
      </c>
      <c r="E102" s="12">
        <v>24.6</v>
      </c>
      <c r="F102" s="12">
        <v>11.07</v>
      </c>
      <c r="G102" s="12">
        <v>10.07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 ht="15" customHeight="1">
      <c r="B107" s="71" t="s">
        <v>19</v>
      </c>
      <c r="C107" s="79">
        <v>9.9450000000000003</v>
      </c>
      <c r="D107" s="79">
        <v>2.2707999999999999</v>
      </c>
      <c r="E107" s="79">
        <v>10.9</v>
      </c>
      <c r="F107" s="79">
        <v>9.4999000000000002</v>
      </c>
      <c r="G107" s="79">
        <v>10.3901</v>
      </c>
      <c r="H107" s="81">
        <v>2.63</v>
      </c>
      <c r="I107" s="81">
        <v>12.73</v>
      </c>
      <c r="J107" s="72">
        <v>22.8</v>
      </c>
    </row>
    <row r="108" spans="2:10" ht="15" customHeight="1">
      <c r="B108" s="71" t="s">
        <v>20</v>
      </c>
      <c r="C108" s="79">
        <v>7.8409000000000004</v>
      </c>
      <c r="D108" s="79">
        <v>3.0333999999999999</v>
      </c>
      <c r="E108" s="79">
        <v>8.4350000000000005</v>
      </c>
      <c r="F108" s="79">
        <v>7.2464000000000004</v>
      </c>
      <c r="G108" s="79">
        <v>8.4353999999999996</v>
      </c>
      <c r="H108" s="81">
        <v>1.83</v>
      </c>
      <c r="I108" s="81">
        <v>12.47</v>
      </c>
      <c r="J108" s="72">
        <v>38.700000000000003</v>
      </c>
    </row>
    <row r="109" spans="2:10" ht="15" customHeight="1">
      <c r="B109" s="71" t="s">
        <v>3</v>
      </c>
      <c r="C109" s="79">
        <v>9.5806000000000004</v>
      </c>
      <c r="D109" s="79">
        <v>1.5445</v>
      </c>
      <c r="E109" s="79">
        <v>9.6850000000000005</v>
      </c>
      <c r="F109" s="79">
        <v>9.2779000000000007</v>
      </c>
      <c r="G109" s="79">
        <v>9.8833000000000002</v>
      </c>
      <c r="H109" s="81">
        <v>1.63</v>
      </c>
      <c r="I109" s="81">
        <v>13.03</v>
      </c>
      <c r="J109" s="72">
        <v>16.100000000000001</v>
      </c>
    </row>
    <row r="110" spans="2:10" ht="15" customHeight="1">
      <c r="B110" s="71" t="s">
        <v>21</v>
      </c>
      <c r="C110" s="79">
        <v>13.7156</v>
      </c>
      <c r="D110" s="79">
        <v>6.6273999999999997</v>
      </c>
      <c r="E110" s="79">
        <v>14.015000000000001</v>
      </c>
      <c r="F110" s="79">
        <v>12.416600000000001</v>
      </c>
      <c r="G110" s="79">
        <v>15.0146</v>
      </c>
      <c r="H110" s="81">
        <v>1.47</v>
      </c>
      <c r="I110" s="81">
        <v>25</v>
      </c>
      <c r="J110" s="72">
        <v>48.3</v>
      </c>
    </row>
    <row r="111" spans="2:10" ht="15" customHeight="1">
      <c r="B111" s="71" t="s">
        <v>22</v>
      </c>
      <c r="C111" s="79">
        <v>9.8503000000000007</v>
      </c>
      <c r="D111" s="79">
        <v>1.2211000000000001</v>
      </c>
      <c r="E111" s="79">
        <v>10.17</v>
      </c>
      <c r="F111" s="79">
        <v>9.6110000000000007</v>
      </c>
      <c r="G111" s="79">
        <v>10.089600000000001</v>
      </c>
      <c r="H111" s="81">
        <v>4.7699999999999996</v>
      </c>
      <c r="I111" s="81">
        <v>11.73</v>
      </c>
      <c r="J111" s="72">
        <v>12.4</v>
      </c>
    </row>
    <row r="112" spans="2:10" ht="15" customHeight="1">
      <c r="B112" s="73" t="s">
        <v>6</v>
      </c>
      <c r="C112" s="80">
        <v>9.4847999999999999</v>
      </c>
      <c r="D112" s="80">
        <v>0.81369999999999998</v>
      </c>
      <c r="E112" s="80">
        <v>9.65</v>
      </c>
      <c r="F112" s="80">
        <v>9.3253000000000004</v>
      </c>
      <c r="G112" s="80">
        <v>9.6442999999999994</v>
      </c>
      <c r="H112" s="82">
        <v>5.87</v>
      </c>
      <c r="I112" s="82">
        <v>10.93</v>
      </c>
      <c r="J112" s="74">
        <v>8.6</v>
      </c>
    </row>
    <row r="113" spans="2:10" ht="15" customHeight="1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 ht="15" customHeight="1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 ht="15" customHeight="1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 ht="15" customHeight="1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5" customHeight="1">
      <c r="B117" s="77">
        <v>93.922300000000007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 ht="15" customHeight="1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 ht="15" customHeight="1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 ht="15" customHeight="1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 ht="15" customHeight="1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5" customHeight="1">
      <c r="B122" s="87">
        <v>15.970800000000001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 ht="15" customHeight="1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 ht="15" customHeight="1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 ht="15" customHeight="1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 ht="15" customHeight="1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 ht="15" customHeight="1">
      <c r="B127" s="93" t="s">
        <v>19</v>
      </c>
      <c r="C127" s="95" t="s">
        <v>20</v>
      </c>
      <c r="D127" s="91">
        <v>2.1040999999999999</v>
      </c>
      <c r="E127" s="91">
        <v>0.37890000000000001</v>
      </c>
      <c r="F127" s="91">
        <v>1.3565</v>
      </c>
      <c r="G127" s="91">
        <v>2.8517000000000001</v>
      </c>
      <c r="H127" s="92" t="s">
        <v>27</v>
      </c>
      <c r="I127" s="89" t="s">
        <v>41</v>
      </c>
      <c r="J127" s="66"/>
    </row>
    <row r="128" spans="2:10" ht="15" customHeight="1">
      <c r="B128" s="71" t="s">
        <v>19</v>
      </c>
      <c r="C128" s="96" t="s">
        <v>3</v>
      </c>
      <c r="D128" s="79">
        <v>0.3644</v>
      </c>
      <c r="E128" s="79">
        <v>0.27460000000000001</v>
      </c>
      <c r="F128" s="79">
        <v>-0.17760000000000001</v>
      </c>
      <c r="G128" s="79">
        <v>0.90639999999999998</v>
      </c>
      <c r="H128" s="97">
        <v>0.18629999999999999</v>
      </c>
      <c r="I128" s="90" t="s">
        <v>40</v>
      </c>
      <c r="J128" s="66"/>
    </row>
    <row r="129" spans="2:10" ht="15" customHeight="1">
      <c r="B129" s="71" t="s">
        <v>19</v>
      </c>
      <c r="C129" s="96" t="s">
        <v>21</v>
      </c>
      <c r="D129" s="79">
        <v>-3.7706</v>
      </c>
      <c r="E129" s="79">
        <v>0.7006</v>
      </c>
      <c r="F129" s="79">
        <v>-5.1574</v>
      </c>
      <c r="G129" s="79">
        <v>-2.3837999999999999</v>
      </c>
      <c r="H129" s="97" t="s">
        <v>27</v>
      </c>
      <c r="I129" s="90" t="s">
        <v>41</v>
      </c>
      <c r="J129" s="66"/>
    </row>
    <row r="130" spans="2:10" ht="15" customHeight="1">
      <c r="B130" s="71" t="s">
        <v>19</v>
      </c>
      <c r="C130" s="96" t="s">
        <v>22</v>
      </c>
      <c r="D130" s="79">
        <v>9.4700000000000006E-2</v>
      </c>
      <c r="E130" s="79">
        <v>0.25779999999999997</v>
      </c>
      <c r="F130" s="79">
        <v>-0.41470000000000001</v>
      </c>
      <c r="G130" s="79">
        <v>0.60409999999999997</v>
      </c>
      <c r="H130" s="97">
        <v>0.71389999999999998</v>
      </c>
      <c r="I130" s="90" t="s">
        <v>40</v>
      </c>
      <c r="J130" s="66"/>
    </row>
    <row r="131" spans="2:10" ht="15" customHeight="1">
      <c r="B131" s="71" t="s">
        <v>19</v>
      </c>
      <c r="C131" s="96" t="s">
        <v>6</v>
      </c>
      <c r="D131" s="79">
        <v>0.4602</v>
      </c>
      <c r="E131" s="79">
        <v>0.2412</v>
      </c>
      <c r="F131" s="79">
        <v>-1.72E-2</v>
      </c>
      <c r="G131" s="79">
        <v>0.93759999999999999</v>
      </c>
      <c r="H131" s="97">
        <v>5.8700000000000002E-2</v>
      </c>
      <c r="I131" s="90" t="s">
        <v>40</v>
      </c>
      <c r="J131" s="66"/>
    </row>
    <row r="132" spans="2:10" ht="15" customHeight="1">
      <c r="B132" s="71" t="s">
        <v>20</v>
      </c>
      <c r="C132" s="96" t="s">
        <v>3</v>
      </c>
      <c r="D132" s="79">
        <v>-1.7397</v>
      </c>
      <c r="E132" s="79">
        <v>0.34039999999999998</v>
      </c>
      <c r="F132" s="79">
        <v>-2.4123999999999999</v>
      </c>
      <c r="G132" s="79">
        <v>-1.0669999999999999</v>
      </c>
      <c r="H132" s="97" t="s">
        <v>27</v>
      </c>
      <c r="I132" s="90" t="s">
        <v>41</v>
      </c>
      <c r="J132" s="66"/>
    </row>
    <row r="133" spans="2:10" ht="15" customHeight="1">
      <c r="B133" s="71" t="s">
        <v>20</v>
      </c>
      <c r="C133" s="96" t="s">
        <v>21</v>
      </c>
      <c r="D133" s="79">
        <v>-5.8746999999999998</v>
      </c>
      <c r="E133" s="79">
        <v>0.72889999999999999</v>
      </c>
      <c r="F133" s="79">
        <v>-7.3158000000000003</v>
      </c>
      <c r="G133" s="79">
        <v>-4.4336000000000002</v>
      </c>
      <c r="H133" s="97" t="s">
        <v>27</v>
      </c>
      <c r="I133" s="90" t="s">
        <v>41</v>
      </c>
      <c r="J133" s="66"/>
    </row>
    <row r="134" spans="2:10" ht="15" customHeight="1">
      <c r="B134" s="71" t="s">
        <v>20</v>
      </c>
      <c r="C134" s="96" t="s">
        <v>22</v>
      </c>
      <c r="D134" s="79">
        <v>-2.0093999999999999</v>
      </c>
      <c r="E134" s="79">
        <v>0.32700000000000001</v>
      </c>
      <c r="F134" s="79">
        <v>-2.6562999999999999</v>
      </c>
      <c r="G134" s="79">
        <v>-1.3625</v>
      </c>
      <c r="H134" s="97" t="s">
        <v>27</v>
      </c>
      <c r="I134" s="90" t="s">
        <v>41</v>
      </c>
      <c r="J134" s="66"/>
    </row>
    <row r="135" spans="2:10" ht="15" customHeight="1">
      <c r="B135" s="71" t="s">
        <v>20</v>
      </c>
      <c r="C135" s="96" t="s">
        <v>6</v>
      </c>
      <c r="D135" s="79">
        <v>-1.6438999999999999</v>
      </c>
      <c r="E135" s="79">
        <v>0.31409999999999999</v>
      </c>
      <c r="F135" s="79">
        <v>-2.2660999999999998</v>
      </c>
      <c r="G135" s="79">
        <v>-1.0217000000000001</v>
      </c>
      <c r="H135" s="97" t="s">
        <v>27</v>
      </c>
      <c r="I135" s="90" t="s">
        <v>41</v>
      </c>
      <c r="J135" s="66"/>
    </row>
    <row r="136" spans="2:10" ht="15" customHeight="1">
      <c r="B136" s="71" t="s">
        <v>3</v>
      </c>
      <c r="C136" s="96" t="s">
        <v>21</v>
      </c>
      <c r="D136" s="79">
        <v>-4.1349999999999998</v>
      </c>
      <c r="E136" s="79">
        <v>0.68049999999999999</v>
      </c>
      <c r="F136" s="79">
        <v>-5.4836</v>
      </c>
      <c r="G136" s="79">
        <v>-2.7864</v>
      </c>
      <c r="H136" s="97" t="s">
        <v>27</v>
      </c>
      <c r="I136" s="90" t="s">
        <v>41</v>
      </c>
      <c r="J136" s="66"/>
    </row>
    <row r="137" spans="2:10" ht="15" customHeight="1">
      <c r="B137" s="71" t="s">
        <v>3</v>
      </c>
      <c r="C137" s="96" t="s">
        <v>22</v>
      </c>
      <c r="D137" s="79">
        <v>-0.2697</v>
      </c>
      <c r="E137" s="79">
        <v>0.19689999999999999</v>
      </c>
      <c r="F137" s="79">
        <v>-0.65810000000000002</v>
      </c>
      <c r="G137" s="79">
        <v>0.1187</v>
      </c>
      <c r="H137" s="97">
        <v>0.1724</v>
      </c>
      <c r="I137" s="90" t="s">
        <v>40</v>
      </c>
      <c r="J137" s="66"/>
    </row>
    <row r="138" spans="2:10" ht="15" customHeight="1">
      <c r="B138" s="71" t="s">
        <v>3</v>
      </c>
      <c r="C138" s="96" t="s">
        <v>6</v>
      </c>
      <c r="D138" s="79">
        <v>9.5799999999999996E-2</v>
      </c>
      <c r="E138" s="79">
        <v>0.17460000000000001</v>
      </c>
      <c r="F138" s="79">
        <v>-0.24909999999999999</v>
      </c>
      <c r="G138" s="79">
        <v>0.44069999999999998</v>
      </c>
      <c r="H138" s="97">
        <v>0.58399999999999996</v>
      </c>
      <c r="I138" s="90" t="s">
        <v>40</v>
      </c>
      <c r="J138" s="66"/>
    </row>
    <row r="139" spans="2:10" ht="15" customHeight="1">
      <c r="B139" s="71" t="s">
        <v>21</v>
      </c>
      <c r="C139" s="96" t="s">
        <v>22</v>
      </c>
      <c r="D139" s="79">
        <v>3.8653</v>
      </c>
      <c r="E139" s="79">
        <v>0.67390000000000005</v>
      </c>
      <c r="F139" s="79">
        <v>2.5291999999999999</v>
      </c>
      <c r="G139" s="79">
        <v>5.2013999999999996</v>
      </c>
      <c r="H139" s="97" t="s">
        <v>27</v>
      </c>
      <c r="I139" s="90" t="s">
        <v>41</v>
      </c>
      <c r="J139" s="66"/>
    </row>
    <row r="140" spans="2:10" ht="15" customHeight="1">
      <c r="B140" s="71" t="s">
        <v>21</v>
      </c>
      <c r="C140" s="96" t="s">
        <v>6</v>
      </c>
      <c r="D140" s="79">
        <v>4.2308000000000003</v>
      </c>
      <c r="E140" s="79">
        <v>0.66769999999999996</v>
      </c>
      <c r="F140" s="79">
        <v>2.9064000000000001</v>
      </c>
      <c r="G140" s="79">
        <v>5.5552000000000001</v>
      </c>
      <c r="H140" s="97" t="s">
        <v>27</v>
      </c>
      <c r="I140" s="90" t="s">
        <v>41</v>
      </c>
      <c r="J140" s="66"/>
    </row>
    <row r="141" spans="2:10" ht="15" customHeight="1">
      <c r="B141" s="73" t="s">
        <v>22</v>
      </c>
      <c r="C141" s="94" t="s">
        <v>6</v>
      </c>
      <c r="D141" s="80">
        <v>0.36549999999999999</v>
      </c>
      <c r="E141" s="80">
        <v>0.1467</v>
      </c>
      <c r="F141" s="80">
        <v>7.5899999999999995E-2</v>
      </c>
      <c r="G141" s="80">
        <v>0.65510000000000002</v>
      </c>
      <c r="H141" s="98">
        <v>1.37E-2</v>
      </c>
      <c r="I141" s="85" t="s">
        <v>41</v>
      </c>
      <c r="J141" s="66"/>
    </row>
    <row r="142" spans="2:10" ht="15" customHeight="1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 ht="15" customHeight="1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05:J105"/>
    <mergeCell ref="B115:D115"/>
    <mergeCell ref="B120:F120"/>
    <mergeCell ref="B125:I125"/>
    <mergeCell ref="B1:G1"/>
  </mergeCells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J143"/>
  <sheetViews>
    <sheetView topLeftCell="A136" workbookViewId="0">
      <selection activeCell="A144" sqref="A144:XFD160"/>
    </sheetView>
  </sheetViews>
  <sheetFormatPr defaultColWidth="12.5703125" defaultRowHeight="15" customHeight="1"/>
  <cols>
    <col min="2" max="2" width="35.85546875" bestFit="1" customWidth="1"/>
    <col min="4" max="4" width="15.85546875" bestFit="1" customWidth="1"/>
    <col min="6" max="6" width="13.85546875" bestFit="1" customWidth="1"/>
    <col min="7" max="7" width="15.140625" bestFit="1" customWidth="1"/>
  </cols>
  <sheetData>
    <row r="1" spans="2:7">
      <c r="B1" s="53" t="s">
        <v>45</v>
      </c>
      <c r="C1" s="54"/>
      <c r="D1" s="54"/>
      <c r="E1" s="54"/>
      <c r="F1" s="54"/>
      <c r="G1" s="55"/>
    </row>
    <row r="2" spans="2:7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2:7">
      <c r="B3" s="4">
        <v>0.79</v>
      </c>
      <c r="C3" s="4">
        <v>0.67</v>
      </c>
      <c r="D3" s="4">
        <v>0.9</v>
      </c>
      <c r="E3" s="16">
        <v>0.22</v>
      </c>
      <c r="F3" s="6">
        <v>0.78</v>
      </c>
      <c r="G3" s="6">
        <v>0.93</v>
      </c>
    </row>
    <row r="4" spans="2:7">
      <c r="B4" s="7">
        <v>0.74</v>
      </c>
      <c r="C4" s="7">
        <v>0.83</v>
      </c>
      <c r="D4" s="7">
        <v>0.88</v>
      </c>
      <c r="E4" s="17">
        <v>0.06</v>
      </c>
      <c r="F4" s="9">
        <v>0.87</v>
      </c>
      <c r="G4" s="9">
        <v>0.92</v>
      </c>
    </row>
    <row r="5" spans="2:7">
      <c r="B5" s="7">
        <v>0.79</v>
      </c>
      <c r="C5" s="7">
        <v>0.7</v>
      </c>
      <c r="D5" s="7">
        <v>0.86</v>
      </c>
      <c r="E5" s="17">
        <v>0.45</v>
      </c>
      <c r="F5" s="9">
        <v>0.85</v>
      </c>
      <c r="G5" s="9">
        <v>0.89</v>
      </c>
    </row>
    <row r="6" spans="2:7">
      <c r="B6" s="7">
        <v>0.77</v>
      </c>
      <c r="C6" s="7">
        <v>0.72</v>
      </c>
      <c r="D6" s="7">
        <v>0.96</v>
      </c>
      <c r="E6" s="17">
        <v>0.47</v>
      </c>
      <c r="F6" s="9">
        <v>0.94</v>
      </c>
      <c r="G6" s="9">
        <v>0.92</v>
      </c>
    </row>
    <row r="7" spans="2:7">
      <c r="B7" s="7">
        <v>0.76</v>
      </c>
      <c r="C7" s="7">
        <v>0.83</v>
      </c>
      <c r="D7" s="7">
        <v>0.96</v>
      </c>
      <c r="E7" s="17">
        <v>0.1</v>
      </c>
      <c r="F7" s="9">
        <v>0.88</v>
      </c>
      <c r="G7" s="9">
        <v>0.77</v>
      </c>
    </row>
    <row r="8" spans="2:7">
      <c r="B8" s="7">
        <v>0.76</v>
      </c>
      <c r="C8" s="7">
        <v>0.88</v>
      </c>
      <c r="D8" s="7">
        <v>0.91</v>
      </c>
      <c r="E8" s="17">
        <v>0.45</v>
      </c>
      <c r="F8" s="9">
        <v>0.91</v>
      </c>
      <c r="G8" s="9">
        <v>0.88</v>
      </c>
    </row>
    <row r="9" spans="2:7">
      <c r="B9" s="7">
        <v>0.68</v>
      </c>
      <c r="C9" s="7">
        <v>0.46</v>
      </c>
      <c r="D9" s="7">
        <v>0.98</v>
      </c>
      <c r="E9" s="17">
        <v>0.09</v>
      </c>
      <c r="F9" s="9">
        <v>0.88</v>
      </c>
      <c r="G9" s="9">
        <v>0.89</v>
      </c>
    </row>
    <row r="10" spans="2:7">
      <c r="B10" s="7">
        <v>0.78</v>
      </c>
      <c r="C10" s="7">
        <v>0.73</v>
      </c>
      <c r="D10" s="7">
        <v>0.87</v>
      </c>
      <c r="E10" s="17">
        <v>0.6</v>
      </c>
      <c r="F10" s="9">
        <v>0.84</v>
      </c>
      <c r="G10" s="9">
        <v>0.89</v>
      </c>
    </row>
    <row r="11" spans="2:7">
      <c r="B11" s="7">
        <v>0.74</v>
      </c>
      <c r="C11" s="7">
        <v>0.74</v>
      </c>
      <c r="D11" s="7">
        <v>0.92</v>
      </c>
      <c r="E11" s="17">
        <v>0.5</v>
      </c>
      <c r="F11" s="9">
        <v>0.77</v>
      </c>
      <c r="G11" s="9">
        <v>0.98</v>
      </c>
    </row>
    <row r="12" spans="2:7">
      <c r="B12" s="7">
        <v>0.7</v>
      </c>
      <c r="C12" s="7">
        <v>0.72</v>
      </c>
      <c r="D12" s="7">
        <v>0.34</v>
      </c>
      <c r="E12" s="17">
        <v>0.52</v>
      </c>
      <c r="F12" s="9">
        <v>0.88</v>
      </c>
      <c r="G12" s="9">
        <v>0.92</v>
      </c>
    </row>
    <row r="13" spans="2:7">
      <c r="B13" s="7">
        <v>0.79</v>
      </c>
      <c r="C13" s="7">
        <v>0.67</v>
      </c>
      <c r="D13" s="7">
        <v>0.98</v>
      </c>
      <c r="E13" s="17">
        <v>0.12</v>
      </c>
      <c r="F13" s="9">
        <v>0.82</v>
      </c>
      <c r="G13" s="9">
        <v>0.97</v>
      </c>
    </row>
    <row r="14" spans="2:7">
      <c r="B14" s="7">
        <v>0.78</v>
      </c>
      <c r="C14" s="7">
        <v>0.79</v>
      </c>
      <c r="D14" s="7">
        <v>0.93</v>
      </c>
      <c r="E14" s="17">
        <v>0.38</v>
      </c>
      <c r="F14" s="9">
        <v>0.84</v>
      </c>
      <c r="G14" s="9">
        <v>1.03</v>
      </c>
    </row>
    <row r="15" spans="2:7">
      <c r="B15" s="7">
        <v>0.68</v>
      </c>
      <c r="C15" s="7">
        <v>0.74</v>
      </c>
      <c r="D15" s="7">
        <v>0.94</v>
      </c>
      <c r="E15" s="17">
        <v>0.19</v>
      </c>
      <c r="F15" s="9">
        <v>0.91</v>
      </c>
      <c r="G15" s="9">
        <v>0.98</v>
      </c>
    </row>
    <row r="16" spans="2:7">
      <c r="B16" s="7">
        <v>0.81</v>
      </c>
      <c r="C16" s="7">
        <v>0.75</v>
      </c>
      <c r="D16" s="7">
        <v>0.85</v>
      </c>
      <c r="E16" s="17">
        <v>0.41</v>
      </c>
      <c r="F16" s="9">
        <v>0.92</v>
      </c>
      <c r="G16" s="9">
        <v>0.9</v>
      </c>
    </row>
    <row r="17" spans="2:7">
      <c r="B17" s="7">
        <v>0.86</v>
      </c>
      <c r="C17" s="7">
        <v>0.8</v>
      </c>
      <c r="D17" s="7">
        <v>0.95</v>
      </c>
      <c r="E17" s="17">
        <v>0.48</v>
      </c>
      <c r="F17" s="9">
        <v>0.86</v>
      </c>
      <c r="G17" s="9">
        <v>0.91</v>
      </c>
    </row>
    <row r="18" spans="2:7">
      <c r="B18" s="7">
        <v>0.81</v>
      </c>
      <c r="C18" s="7">
        <v>0.86</v>
      </c>
      <c r="D18" s="7">
        <v>0.56999999999999995</v>
      </c>
      <c r="E18" s="17">
        <v>0.49</v>
      </c>
      <c r="F18" s="9">
        <v>0.85</v>
      </c>
      <c r="G18" s="9">
        <v>0.97</v>
      </c>
    </row>
    <row r="19" spans="2:7">
      <c r="B19" s="7">
        <v>0.54</v>
      </c>
      <c r="C19" s="7">
        <v>0.89</v>
      </c>
      <c r="D19" s="7">
        <v>0.89</v>
      </c>
      <c r="E19" s="17">
        <v>0.57999999999999996</v>
      </c>
      <c r="F19" s="9">
        <v>0.89</v>
      </c>
      <c r="G19" s="9">
        <v>0.96</v>
      </c>
    </row>
    <row r="20" spans="2:7">
      <c r="B20" s="7">
        <v>0.69</v>
      </c>
      <c r="C20" s="7">
        <v>0.73</v>
      </c>
      <c r="D20" s="7">
        <v>0.89</v>
      </c>
      <c r="E20" s="17">
        <v>0.53</v>
      </c>
      <c r="F20" s="9">
        <v>0.92</v>
      </c>
      <c r="G20" s="9">
        <v>0.95</v>
      </c>
    </row>
    <row r="21" spans="2:7">
      <c r="B21" s="7">
        <v>0.7</v>
      </c>
      <c r="C21" s="7">
        <v>0.69</v>
      </c>
      <c r="D21" s="7">
        <v>0.9</v>
      </c>
      <c r="E21" s="17">
        <v>0.1</v>
      </c>
      <c r="F21" s="9">
        <v>0.77</v>
      </c>
      <c r="G21" s="9">
        <v>0.97</v>
      </c>
    </row>
    <row r="22" spans="2:7">
      <c r="B22" s="7">
        <v>0.62</v>
      </c>
      <c r="C22" s="7">
        <v>0.6</v>
      </c>
      <c r="D22" s="7">
        <v>1.03</v>
      </c>
      <c r="E22" s="17">
        <v>0.42</v>
      </c>
      <c r="F22" s="9">
        <v>0.87</v>
      </c>
      <c r="G22" s="9">
        <v>0.92</v>
      </c>
    </row>
    <row r="23" spans="2:7">
      <c r="B23" s="7">
        <v>0.73</v>
      </c>
      <c r="C23" s="7">
        <v>-7.0000000000000007E-2</v>
      </c>
      <c r="D23" s="7">
        <v>0.12</v>
      </c>
      <c r="E23" s="17">
        <v>0.15</v>
      </c>
      <c r="F23" s="9">
        <v>0.87</v>
      </c>
      <c r="G23" s="9">
        <v>0.84</v>
      </c>
    </row>
    <row r="24" spans="2:7">
      <c r="B24" s="7">
        <v>0.77</v>
      </c>
      <c r="C24" s="7">
        <v>0.7</v>
      </c>
      <c r="D24" s="7">
        <v>0.97</v>
      </c>
      <c r="E24" s="17">
        <v>0.2</v>
      </c>
      <c r="F24" s="9">
        <v>0.92</v>
      </c>
      <c r="G24" s="9">
        <v>0.93</v>
      </c>
    </row>
    <row r="25" spans="2:7">
      <c r="B25" s="7">
        <v>0.37</v>
      </c>
      <c r="C25" s="7">
        <v>0.79</v>
      </c>
      <c r="D25" s="7">
        <v>0.86</v>
      </c>
      <c r="E25" s="17">
        <v>0.49</v>
      </c>
      <c r="F25" s="9">
        <v>0.81</v>
      </c>
      <c r="G25" s="9">
        <v>0.89</v>
      </c>
    </row>
    <row r="26" spans="2:7">
      <c r="B26" s="7">
        <v>0.7</v>
      </c>
      <c r="C26" s="7">
        <v>0.01</v>
      </c>
      <c r="D26" s="7">
        <v>0.85</v>
      </c>
      <c r="E26" s="17">
        <v>0.52</v>
      </c>
      <c r="F26" s="9">
        <v>0.83</v>
      </c>
      <c r="G26" s="9">
        <v>0.91</v>
      </c>
    </row>
    <row r="27" spans="2:7">
      <c r="B27" s="7">
        <v>0.84</v>
      </c>
      <c r="C27" s="7">
        <v>0.43</v>
      </c>
      <c r="D27" s="7">
        <v>0.89</v>
      </c>
      <c r="E27" s="17">
        <v>0.19</v>
      </c>
      <c r="F27" s="9">
        <v>0.88</v>
      </c>
      <c r="G27" s="9">
        <v>0.85</v>
      </c>
    </row>
    <row r="28" spans="2:7">
      <c r="B28" s="7">
        <v>0.77</v>
      </c>
      <c r="C28" s="7">
        <v>0.78</v>
      </c>
      <c r="D28" s="7">
        <v>0.93</v>
      </c>
      <c r="E28" s="17">
        <v>0.08</v>
      </c>
      <c r="F28" s="9">
        <v>0.85</v>
      </c>
      <c r="G28" s="9">
        <v>0.95</v>
      </c>
    </row>
    <row r="29" spans="2:7">
      <c r="B29" s="7">
        <v>0.68</v>
      </c>
      <c r="C29" s="7">
        <v>0.65</v>
      </c>
      <c r="D29" s="7">
        <v>0.94</v>
      </c>
      <c r="E29" s="17">
        <v>0.49</v>
      </c>
      <c r="F29" s="9">
        <v>0.38</v>
      </c>
      <c r="G29" s="9">
        <v>0.9</v>
      </c>
    </row>
    <row r="30" spans="2:7">
      <c r="B30" s="7">
        <v>0.79</v>
      </c>
      <c r="C30" s="7">
        <v>0.7</v>
      </c>
      <c r="D30" s="7">
        <v>0.99</v>
      </c>
      <c r="E30" s="17">
        <v>0.08</v>
      </c>
      <c r="F30" s="9">
        <v>0.89</v>
      </c>
      <c r="G30" s="9">
        <v>0.96</v>
      </c>
    </row>
    <row r="31" spans="2:7">
      <c r="B31" s="7">
        <v>0.82</v>
      </c>
      <c r="C31" s="7">
        <v>0.83</v>
      </c>
      <c r="D31" s="7">
        <v>0.94</v>
      </c>
      <c r="E31" s="17">
        <v>0.13</v>
      </c>
      <c r="F31" s="9">
        <v>0.87</v>
      </c>
      <c r="G31" s="9">
        <v>0.74</v>
      </c>
    </row>
    <row r="32" spans="2:7">
      <c r="B32" s="7">
        <v>0.81</v>
      </c>
      <c r="C32" s="7">
        <v>0.8</v>
      </c>
      <c r="D32" s="7">
        <v>0.97</v>
      </c>
      <c r="E32" s="17">
        <v>0.7</v>
      </c>
      <c r="F32" s="9">
        <v>0.92</v>
      </c>
      <c r="G32" s="9">
        <v>0.96</v>
      </c>
    </row>
    <row r="33" spans="2:7">
      <c r="B33" s="7">
        <v>0.77</v>
      </c>
      <c r="C33" s="7">
        <v>0.62</v>
      </c>
      <c r="D33" s="7">
        <v>0.92</v>
      </c>
      <c r="E33" s="17">
        <v>0.02</v>
      </c>
      <c r="F33" s="9">
        <v>0.89</v>
      </c>
      <c r="G33" s="9">
        <v>0.92</v>
      </c>
    </row>
    <row r="34" spans="2:7">
      <c r="B34" s="7">
        <v>0.75</v>
      </c>
      <c r="C34" s="7">
        <v>0.6</v>
      </c>
      <c r="D34" s="7">
        <v>0.93</v>
      </c>
      <c r="E34" s="17">
        <v>0.72</v>
      </c>
      <c r="F34" s="9">
        <v>0.91</v>
      </c>
      <c r="G34" s="9">
        <v>0.99</v>
      </c>
    </row>
    <row r="35" spans="2:7">
      <c r="B35" s="7">
        <v>0.8</v>
      </c>
      <c r="C35" s="7">
        <v>0.69</v>
      </c>
      <c r="D35" s="7">
        <v>0.86</v>
      </c>
      <c r="E35" s="17">
        <v>0.69</v>
      </c>
      <c r="F35" s="9">
        <v>0.94</v>
      </c>
      <c r="G35" s="9">
        <v>0.9</v>
      </c>
    </row>
    <row r="36" spans="2:7">
      <c r="B36" s="7">
        <v>0.84</v>
      </c>
      <c r="C36" s="7">
        <v>0.85</v>
      </c>
      <c r="D36" s="7">
        <v>0.94</v>
      </c>
      <c r="E36" s="17">
        <v>0.45</v>
      </c>
      <c r="F36" s="9">
        <v>0.89</v>
      </c>
      <c r="G36" s="9">
        <v>0.83</v>
      </c>
    </row>
    <row r="37" spans="2:7">
      <c r="B37" s="7">
        <v>0.71</v>
      </c>
      <c r="C37" s="7">
        <v>0.92</v>
      </c>
      <c r="D37" s="7">
        <v>0.84</v>
      </c>
      <c r="E37" s="17">
        <v>0.28000000000000003</v>
      </c>
      <c r="F37" s="9">
        <v>0.9</v>
      </c>
      <c r="G37" s="9">
        <v>0.98</v>
      </c>
    </row>
    <row r="38" spans="2:7">
      <c r="B38" s="7">
        <v>0.88</v>
      </c>
      <c r="C38" s="7">
        <v>0.79</v>
      </c>
      <c r="D38" s="7">
        <v>0.98</v>
      </c>
      <c r="E38" s="17">
        <v>0.36</v>
      </c>
      <c r="F38" s="9">
        <v>0.9</v>
      </c>
      <c r="G38" s="9">
        <v>0.9</v>
      </c>
    </row>
    <row r="39" spans="2:7">
      <c r="B39" s="7">
        <v>0.81</v>
      </c>
      <c r="C39" s="7">
        <v>0.78</v>
      </c>
      <c r="D39" s="7">
        <v>0.92</v>
      </c>
      <c r="E39" s="17">
        <v>7.0000000000000007E-2</v>
      </c>
      <c r="F39" s="9">
        <v>0.92</v>
      </c>
      <c r="G39" s="9">
        <v>0.89</v>
      </c>
    </row>
    <row r="40" spans="2:7">
      <c r="B40" s="7">
        <v>0.8</v>
      </c>
      <c r="C40" s="7">
        <v>0.33</v>
      </c>
      <c r="D40" s="7">
        <v>0.78</v>
      </c>
      <c r="E40" s="17">
        <v>0.09</v>
      </c>
      <c r="F40" s="9">
        <v>0.84</v>
      </c>
      <c r="G40" s="9">
        <v>0.92</v>
      </c>
    </row>
    <row r="41" spans="2:7">
      <c r="B41" s="7">
        <v>0.79</v>
      </c>
      <c r="C41" s="7">
        <v>0.68</v>
      </c>
      <c r="D41" s="7">
        <v>0.95</v>
      </c>
      <c r="E41" s="17">
        <v>0.35</v>
      </c>
      <c r="F41" s="9">
        <v>0.86</v>
      </c>
      <c r="G41" s="9">
        <v>0.84</v>
      </c>
    </row>
    <row r="42" spans="2:7">
      <c r="B42" s="7">
        <v>0.74</v>
      </c>
      <c r="C42" s="7">
        <v>-0.03</v>
      </c>
      <c r="D42" s="7">
        <v>0.91</v>
      </c>
      <c r="E42" s="17">
        <v>0.04</v>
      </c>
      <c r="F42" s="9">
        <v>0.86</v>
      </c>
      <c r="G42" s="9">
        <v>0.94</v>
      </c>
    </row>
    <row r="43" spans="2:7">
      <c r="B43" s="7">
        <v>0.81</v>
      </c>
      <c r="C43" s="7">
        <v>0.81</v>
      </c>
      <c r="D43" s="7">
        <v>0.9</v>
      </c>
      <c r="E43" s="17">
        <v>7.0000000000000007E-2</v>
      </c>
      <c r="F43" s="9">
        <v>0.73</v>
      </c>
      <c r="G43" s="9">
        <v>0.94</v>
      </c>
    </row>
    <row r="44" spans="2:7">
      <c r="B44" s="7">
        <v>0.7</v>
      </c>
      <c r="C44" s="7">
        <v>0.79</v>
      </c>
      <c r="D44" s="7">
        <v>0.69</v>
      </c>
      <c r="E44" s="17">
        <v>0.02</v>
      </c>
      <c r="F44" s="9">
        <v>0.85</v>
      </c>
      <c r="G44" s="9">
        <v>1.01</v>
      </c>
    </row>
    <row r="45" spans="2:7">
      <c r="B45" s="7">
        <v>0.74</v>
      </c>
      <c r="C45" s="7">
        <v>0.91</v>
      </c>
      <c r="D45" s="7">
        <v>0.91</v>
      </c>
      <c r="E45" s="17">
        <v>0.74</v>
      </c>
      <c r="F45" s="9">
        <v>0.89</v>
      </c>
      <c r="G45" s="9">
        <v>0.83</v>
      </c>
    </row>
    <row r="46" spans="2:7">
      <c r="B46" s="7">
        <v>0.77</v>
      </c>
      <c r="C46" s="7">
        <v>0.6</v>
      </c>
      <c r="D46" s="7">
        <v>0.98</v>
      </c>
      <c r="E46" s="17">
        <v>0.09</v>
      </c>
      <c r="F46" s="9">
        <v>0.93</v>
      </c>
      <c r="G46" s="9">
        <v>0.92</v>
      </c>
    </row>
    <row r="47" spans="2:7">
      <c r="B47" s="7">
        <v>0.75</v>
      </c>
      <c r="C47" s="7">
        <v>0.11</v>
      </c>
      <c r="D47" s="7">
        <v>0.91</v>
      </c>
      <c r="E47" s="17">
        <v>0.08</v>
      </c>
      <c r="F47" s="9">
        <v>0.89</v>
      </c>
      <c r="G47" s="9">
        <v>0.88</v>
      </c>
    </row>
    <row r="48" spans="2:7">
      <c r="B48" s="7">
        <v>0.8</v>
      </c>
      <c r="C48" s="7">
        <v>0.7</v>
      </c>
      <c r="D48" s="7">
        <v>0.96</v>
      </c>
      <c r="E48" s="17">
        <v>7.0000000000000007E-2</v>
      </c>
      <c r="F48" s="9">
        <v>0.88</v>
      </c>
      <c r="G48" s="9">
        <v>0.75</v>
      </c>
    </row>
    <row r="49" spans="2:7">
      <c r="B49" s="7">
        <v>0.7</v>
      </c>
      <c r="C49" s="7">
        <v>7.0000000000000007E-2</v>
      </c>
      <c r="D49" s="7">
        <v>0.96</v>
      </c>
      <c r="E49" s="17">
        <v>0.32</v>
      </c>
      <c r="F49" s="9">
        <v>0.85</v>
      </c>
      <c r="G49" s="9">
        <v>0.97</v>
      </c>
    </row>
    <row r="50" spans="2:7">
      <c r="B50" s="7">
        <v>0.83</v>
      </c>
      <c r="C50" s="7">
        <v>0.86</v>
      </c>
      <c r="D50" s="7">
        <v>0.94</v>
      </c>
      <c r="E50" s="17">
        <v>0.03</v>
      </c>
      <c r="F50" s="9">
        <v>0.91</v>
      </c>
      <c r="G50" s="9">
        <v>0.95</v>
      </c>
    </row>
    <row r="51" spans="2:7">
      <c r="B51" s="7">
        <v>0.77</v>
      </c>
      <c r="C51" s="7">
        <v>0.82</v>
      </c>
      <c r="D51" s="7">
        <v>0.81</v>
      </c>
      <c r="E51" s="17">
        <v>0.33</v>
      </c>
      <c r="F51" s="9">
        <v>0.92</v>
      </c>
      <c r="G51" s="9">
        <v>0.98</v>
      </c>
    </row>
    <row r="52" spans="2:7">
      <c r="B52" s="7">
        <v>0.75</v>
      </c>
      <c r="C52" s="7">
        <v>0</v>
      </c>
      <c r="D52" s="7">
        <v>0.94</v>
      </c>
      <c r="E52" s="17">
        <v>0.43</v>
      </c>
      <c r="F52" s="9">
        <v>0.9</v>
      </c>
      <c r="G52" s="9">
        <v>0.97</v>
      </c>
    </row>
    <row r="53" spans="2:7">
      <c r="B53" s="7">
        <v>0.84</v>
      </c>
      <c r="C53" s="7">
        <v>0.73</v>
      </c>
      <c r="D53" s="7">
        <v>0.84</v>
      </c>
      <c r="E53" s="17">
        <v>0.05</v>
      </c>
      <c r="F53" s="9">
        <v>0.88</v>
      </c>
      <c r="G53" s="9">
        <v>0.9</v>
      </c>
    </row>
    <row r="54" spans="2:7">
      <c r="B54" s="7">
        <v>0.78</v>
      </c>
      <c r="C54" s="7">
        <v>0.71</v>
      </c>
      <c r="D54" s="7">
        <v>0.79</v>
      </c>
      <c r="E54" s="17">
        <v>0.45</v>
      </c>
      <c r="F54" s="9">
        <v>0.85</v>
      </c>
      <c r="G54" s="9">
        <v>0.89</v>
      </c>
    </row>
    <row r="55" spans="2:7">
      <c r="B55" s="7">
        <v>0.83</v>
      </c>
      <c r="C55" s="7">
        <v>0.72</v>
      </c>
      <c r="D55" s="7">
        <v>0.89</v>
      </c>
      <c r="E55" s="17">
        <v>0.28000000000000003</v>
      </c>
      <c r="F55" s="9">
        <v>0.85</v>
      </c>
      <c r="G55" s="9">
        <v>0.93</v>
      </c>
    </row>
    <row r="56" spans="2:7">
      <c r="B56" s="7">
        <v>0.77</v>
      </c>
      <c r="C56" s="7">
        <v>0.12</v>
      </c>
      <c r="D56" s="7">
        <v>0.9</v>
      </c>
      <c r="E56" s="17">
        <v>0.02</v>
      </c>
      <c r="F56" s="9">
        <v>0.87</v>
      </c>
      <c r="G56" s="9">
        <v>0.98</v>
      </c>
    </row>
    <row r="57" spans="2:7">
      <c r="B57" s="7">
        <v>0.79</v>
      </c>
      <c r="C57" s="7">
        <v>0.71</v>
      </c>
      <c r="D57" s="7">
        <v>1.01</v>
      </c>
      <c r="E57" s="17">
        <v>0.41</v>
      </c>
      <c r="F57" s="9">
        <v>0.85</v>
      </c>
      <c r="G57" s="9">
        <v>0.91</v>
      </c>
    </row>
    <row r="58" spans="2:7">
      <c r="B58" s="7">
        <v>0.8</v>
      </c>
      <c r="C58" s="7">
        <v>0.77</v>
      </c>
      <c r="D58" s="7">
        <v>0.79</v>
      </c>
      <c r="E58" s="17">
        <v>0.64</v>
      </c>
      <c r="F58" s="9">
        <v>0.87</v>
      </c>
      <c r="G58" s="9">
        <v>0.95</v>
      </c>
    </row>
    <row r="59" spans="2:7">
      <c r="B59" s="7">
        <v>0.73</v>
      </c>
      <c r="C59" s="7">
        <v>0.68</v>
      </c>
      <c r="D59" s="7">
        <v>0.92</v>
      </c>
      <c r="E59" s="17">
        <v>0.12</v>
      </c>
      <c r="F59" s="9">
        <v>0.85</v>
      </c>
      <c r="G59" s="9">
        <v>0.9</v>
      </c>
    </row>
    <row r="60" spans="2:7">
      <c r="B60" s="7">
        <v>0.79</v>
      </c>
      <c r="C60" s="7">
        <v>0.79</v>
      </c>
      <c r="D60" s="7">
        <v>0.83</v>
      </c>
      <c r="E60" s="17">
        <v>0.47</v>
      </c>
      <c r="F60" s="9">
        <v>0.82</v>
      </c>
      <c r="G60" s="9">
        <v>0.93</v>
      </c>
    </row>
    <row r="61" spans="2:7">
      <c r="B61" s="7">
        <v>0.8</v>
      </c>
      <c r="C61" s="7">
        <v>0.18</v>
      </c>
      <c r="D61" s="7">
        <v>0.94</v>
      </c>
      <c r="E61" s="17">
        <v>0.38</v>
      </c>
      <c r="F61" s="9">
        <v>0.95</v>
      </c>
      <c r="G61" s="9">
        <v>0.86</v>
      </c>
    </row>
    <row r="62" spans="2:7">
      <c r="B62" s="7">
        <v>0.78</v>
      </c>
      <c r="C62" s="7">
        <v>0.88</v>
      </c>
      <c r="D62" s="7">
        <v>0.92</v>
      </c>
      <c r="E62" s="17">
        <v>7.0000000000000007E-2</v>
      </c>
      <c r="F62" s="9">
        <v>0.91</v>
      </c>
      <c r="G62" s="9">
        <v>0.93</v>
      </c>
    </row>
    <row r="63" spans="2:7">
      <c r="B63" s="7">
        <v>0.77</v>
      </c>
      <c r="C63" s="7">
        <v>0.7</v>
      </c>
      <c r="D63" s="7">
        <v>0.79</v>
      </c>
      <c r="E63" s="17">
        <v>0.06</v>
      </c>
      <c r="F63" s="9">
        <v>0.9</v>
      </c>
      <c r="G63" s="9">
        <v>0.86</v>
      </c>
    </row>
    <row r="64" spans="2:7">
      <c r="B64" s="7">
        <v>0.85</v>
      </c>
      <c r="C64" s="7">
        <v>0.94</v>
      </c>
      <c r="D64" s="7">
        <v>0.76</v>
      </c>
      <c r="E64" s="17">
        <v>0.54</v>
      </c>
      <c r="F64" s="9">
        <v>0.95</v>
      </c>
      <c r="G64" s="9">
        <v>0.91</v>
      </c>
    </row>
    <row r="65" spans="2:7">
      <c r="B65" s="7">
        <v>0.65</v>
      </c>
      <c r="C65" s="7">
        <v>0.75</v>
      </c>
      <c r="D65" s="7">
        <v>0.92</v>
      </c>
      <c r="E65" s="17">
        <v>0.55000000000000004</v>
      </c>
      <c r="F65" s="9">
        <v>0.96</v>
      </c>
      <c r="G65" s="9">
        <v>0.92</v>
      </c>
    </row>
    <row r="66" spans="2:7">
      <c r="B66" s="7">
        <v>0.77</v>
      </c>
      <c r="C66" s="7">
        <v>0.71</v>
      </c>
      <c r="D66" s="7">
        <v>0.97</v>
      </c>
      <c r="E66" s="17">
        <v>0.2</v>
      </c>
      <c r="F66" s="9">
        <v>0.87</v>
      </c>
      <c r="G66" s="9">
        <v>0.84</v>
      </c>
    </row>
    <row r="67" spans="2:7">
      <c r="B67" s="7">
        <v>0.75</v>
      </c>
      <c r="C67" s="7">
        <v>0.85</v>
      </c>
      <c r="D67" s="7">
        <v>0.94</v>
      </c>
      <c r="E67" s="17">
        <v>0.12</v>
      </c>
      <c r="F67" s="9">
        <v>0.82</v>
      </c>
      <c r="G67" s="9">
        <v>0.95</v>
      </c>
    </row>
    <row r="68" spans="2:7">
      <c r="B68" s="7">
        <v>0.79</v>
      </c>
      <c r="C68" s="7">
        <v>0.21</v>
      </c>
      <c r="D68" s="7">
        <v>0.87</v>
      </c>
      <c r="E68" s="17">
        <v>0.72</v>
      </c>
      <c r="F68" s="9">
        <v>0.86</v>
      </c>
      <c r="G68" s="9">
        <v>0.94</v>
      </c>
    </row>
    <row r="69" spans="2:7">
      <c r="B69" s="7">
        <v>0.84</v>
      </c>
      <c r="C69" s="7">
        <v>0.64</v>
      </c>
      <c r="D69" s="7">
        <v>0.86</v>
      </c>
      <c r="E69" s="17">
        <v>0.65</v>
      </c>
      <c r="F69" s="9">
        <v>0.9</v>
      </c>
      <c r="G69" s="9">
        <v>0.97</v>
      </c>
    </row>
    <row r="70" spans="2:7">
      <c r="B70" s="7">
        <v>0.74</v>
      </c>
      <c r="C70" s="7">
        <v>0.77</v>
      </c>
      <c r="D70" s="7">
        <v>0.92</v>
      </c>
      <c r="E70" s="17">
        <v>0.37</v>
      </c>
      <c r="F70" s="9">
        <v>0.89</v>
      </c>
      <c r="G70" s="9">
        <v>0.92</v>
      </c>
    </row>
    <row r="71" spans="2:7">
      <c r="B71" s="7">
        <v>0.64</v>
      </c>
      <c r="C71" s="7">
        <v>-0.02</v>
      </c>
      <c r="D71" s="7">
        <v>0.92</v>
      </c>
      <c r="E71" s="17">
        <v>0.23</v>
      </c>
      <c r="F71" s="9">
        <v>0.84</v>
      </c>
      <c r="G71" s="9">
        <v>0.95</v>
      </c>
    </row>
    <row r="72" spans="2:7">
      <c r="B72" s="7">
        <v>0.74</v>
      </c>
      <c r="C72" s="7">
        <v>0.73</v>
      </c>
      <c r="D72" s="7">
        <v>0.89</v>
      </c>
      <c r="E72" s="17">
        <v>0.11</v>
      </c>
      <c r="F72" s="9">
        <v>0.89</v>
      </c>
      <c r="G72" s="9">
        <v>1</v>
      </c>
    </row>
    <row r="73" spans="2:7">
      <c r="B73" s="7">
        <v>0.78</v>
      </c>
      <c r="C73" s="7">
        <v>0.6</v>
      </c>
      <c r="D73" s="7">
        <v>0.88</v>
      </c>
      <c r="E73" s="17">
        <v>0.04</v>
      </c>
      <c r="F73" s="9">
        <v>0.84</v>
      </c>
      <c r="G73" s="9">
        <v>0.93</v>
      </c>
    </row>
    <row r="74" spans="2:7">
      <c r="B74" s="7">
        <v>0.73</v>
      </c>
      <c r="C74" s="7">
        <v>0.81</v>
      </c>
      <c r="D74" s="7">
        <v>0.85</v>
      </c>
      <c r="E74" s="17">
        <v>0.06</v>
      </c>
      <c r="F74" s="9">
        <v>0.81</v>
      </c>
      <c r="G74" s="9">
        <v>0.89</v>
      </c>
    </row>
    <row r="75" spans="2:7">
      <c r="B75" s="7">
        <v>0.74</v>
      </c>
      <c r="C75" s="7">
        <v>0.65</v>
      </c>
      <c r="D75" s="7">
        <v>0.97</v>
      </c>
      <c r="E75" s="17">
        <v>0.2</v>
      </c>
      <c r="F75" s="9">
        <v>0.87</v>
      </c>
      <c r="G75" s="9">
        <v>0.99</v>
      </c>
    </row>
    <row r="76" spans="2:7">
      <c r="B76" s="7">
        <v>0.78</v>
      </c>
      <c r="C76" s="7">
        <v>0.03</v>
      </c>
      <c r="D76" s="7">
        <v>0.95</v>
      </c>
      <c r="E76" s="17">
        <v>0.56999999999999995</v>
      </c>
      <c r="F76" s="9">
        <v>0.86</v>
      </c>
      <c r="G76" s="9">
        <v>0.89</v>
      </c>
    </row>
    <row r="77" spans="2:7">
      <c r="B77" s="7">
        <v>0.71</v>
      </c>
      <c r="C77" s="7">
        <v>0.19</v>
      </c>
      <c r="D77" s="7">
        <v>0.85</v>
      </c>
      <c r="E77" s="17">
        <v>0.48</v>
      </c>
      <c r="F77" s="9">
        <v>0.57999999999999996</v>
      </c>
      <c r="G77" s="9">
        <v>0.94</v>
      </c>
    </row>
    <row r="78" spans="2:7">
      <c r="B78" s="7">
        <v>0.81</v>
      </c>
      <c r="C78" s="7">
        <v>0.8</v>
      </c>
      <c r="D78" s="7">
        <v>0.9</v>
      </c>
      <c r="E78" s="17">
        <v>0.01</v>
      </c>
      <c r="F78" s="9">
        <v>0.92</v>
      </c>
      <c r="G78" s="9">
        <v>0.95</v>
      </c>
    </row>
    <row r="79" spans="2:7">
      <c r="B79" s="7">
        <v>0.76</v>
      </c>
      <c r="C79" s="7">
        <v>0.79</v>
      </c>
      <c r="D79" s="7">
        <v>0.95</v>
      </c>
      <c r="E79" s="17">
        <v>0.3</v>
      </c>
      <c r="F79" s="9">
        <v>0.91</v>
      </c>
      <c r="G79" s="9">
        <v>1.01</v>
      </c>
    </row>
    <row r="80" spans="2:7">
      <c r="B80" s="7">
        <v>0.79</v>
      </c>
      <c r="C80" s="7">
        <v>0.14000000000000001</v>
      </c>
      <c r="D80" s="7">
        <v>0.94</v>
      </c>
      <c r="E80" s="17">
        <v>7.0000000000000007E-2</v>
      </c>
      <c r="F80" s="9">
        <v>0.83</v>
      </c>
      <c r="G80" s="9">
        <v>0.92</v>
      </c>
    </row>
    <row r="81" spans="2:7">
      <c r="B81" s="7">
        <v>0.79</v>
      </c>
      <c r="C81" s="7">
        <v>0.71</v>
      </c>
      <c r="D81" s="7">
        <v>0.96</v>
      </c>
      <c r="E81" s="17">
        <v>0.33</v>
      </c>
      <c r="F81" s="9">
        <v>0.87</v>
      </c>
      <c r="G81" s="9">
        <v>0.98</v>
      </c>
    </row>
    <row r="82" spans="2:7">
      <c r="B82" s="7">
        <v>0.81</v>
      </c>
      <c r="C82" s="7">
        <v>0.14000000000000001</v>
      </c>
      <c r="D82" s="7">
        <v>0.94</v>
      </c>
      <c r="E82" s="17">
        <v>0.53</v>
      </c>
      <c r="F82" s="9">
        <v>0.92</v>
      </c>
      <c r="G82" s="9">
        <v>0.94</v>
      </c>
    </row>
    <row r="83" spans="2:7">
      <c r="B83" s="7">
        <v>0.74</v>
      </c>
      <c r="C83" s="7">
        <v>7.0000000000000007E-2</v>
      </c>
      <c r="D83" s="7">
        <v>0.93</v>
      </c>
      <c r="E83" s="17">
        <v>0.46</v>
      </c>
      <c r="F83" s="9">
        <v>0.88</v>
      </c>
      <c r="G83" s="9">
        <v>0.9</v>
      </c>
    </row>
    <row r="84" spans="2:7">
      <c r="B84" s="7">
        <v>0.79</v>
      </c>
      <c r="C84" s="7">
        <v>0.73</v>
      </c>
      <c r="D84" s="7">
        <v>0.93</v>
      </c>
      <c r="E84" s="17">
        <v>0.16</v>
      </c>
      <c r="F84" s="9">
        <v>0.96</v>
      </c>
      <c r="G84" s="9">
        <v>0.9</v>
      </c>
    </row>
    <row r="85" spans="2:7">
      <c r="B85" s="7">
        <v>0.82</v>
      </c>
      <c r="C85" s="7">
        <v>0.48</v>
      </c>
      <c r="D85" s="7">
        <v>0.94</v>
      </c>
      <c r="E85" s="17">
        <v>0.09</v>
      </c>
      <c r="F85" s="9">
        <v>0.65</v>
      </c>
      <c r="G85" s="9">
        <v>1.01</v>
      </c>
    </row>
    <row r="86" spans="2:7">
      <c r="B86" s="7">
        <v>0.52</v>
      </c>
      <c r="C86" s="7">
        <v>-0.09</v>
      </c>
      <c r="D86" s="7">
        <v>0.54</v>
      </c>
      <c r="E86" s="17">
        <v>0.11</v>
      </c>
      <c r="F86" s="9">
        <v>0.83</v>
      </c>
      <c r="G86" s="9">
        <v>0.97</v>
      </c>
    </row>
    <row r="87" spans="2:7">
      <c r="B87" s="7">
        <v>0.82</v>
      </c>
      <c r="C87" s="7">
        <v>0.06</v>
      </c>
      <c r="D87" s="7">
        <v>0.74</v>
      </c>
      <c r="E87" s="17">
        <v>0.35</v>
      </c>
      <c r="F87" s="9">
        <v>0.88</v>
      </c>
      <c r="G87" s="9">
        <v>0.98</v>
      </c>
    </row>
    <row r="88" spans="2:7">
      <c r="B88" s="7">
        <v>0.8</v>
      </c>
      <c r="C88" s="7">
        <v>0.64</v>
      </c>
      <c r="D88" s="7">
        <v>0.98</v>
      </c>
      <c r="E88" s="17">
        <v>0.64</v>
      </c>
      <c r="F88" s="9">
        <v>0.81</v>
      </c>
      <c r="G88" s="9">
        <v>0.91</v>
      </c>
    </row>
    <row r="89" spans="2:7">
      <c r="B89" s="7">
        <v>0.79</v>
      </c>
      <c r="C89" s="7">
        <v>0.75</v>
      </c>
      <c r="D89" s="7">
        <v>0.97</v>
      </c>
      <c r="E89" s="17">
        <v>0.3</v>
      </c>
      <c r="F89" s="9">
        <v>0.78</v>
      </c>
      <c r="G89" s="9">
        <v>0.88</v>
      </c>
    </row>
    <row r="90" spans="2:7">
      <c r="B90" s="7">
        <v>0.8</v>
      </c>
      <c r="C90" s="7">
        <v>0.78</v>
      </c>
      <c r="D90" s="7">
        <v>0.83</v>
      </c>
      <c r="E90" s="17">
        <v>0.46</v>
      </c>
      <c r="F90" s="9">
        <v>0.9</v>
      </c>
      <c r="G90" s="9">
        <v>0.94</v>
      </c>
    </row>
    <row r="91" spans="2:7">
      <c r="B91" s="7">
        <v>0.78</v>
      </c>
      <c r="C91" s="7">
        <v>0.89</v>
      </c>
      <c r="D91" s="7">
        <v>0.99</v>
      </c>
      <c r="E91" s="17">
        <v>0.13</v>
      </c>
      <c r="F91" s="9">
        <v>0.88</v>
      </c>
      <c r="G91" s="9">
        <v>0.93</v>
      </c>
    </row>
    <row r="92" spans="2:7">
      <c r="B92" s="7">
        <v>0.8</v>
      </c>
      <c r="C92" s="7">
        <v>0.78</v>
      </c>
      <c r="D92" s="7">
        <v>0.93</v>
      </c>
      <c r="E92" s="17">
        <v>0.43</v>
      </c>
      <c r="F92" s="9">
        <v>0.81</v>
      </c>
      <c r="G92" s="9">
        <v>0.86</v>
      </c>
    </row>
    <row r="93" spans="2:7">
      <c r="B93" s="7">
        <v>0.77</v>
      </c>
      <c r="C93" s="7">
        <v>0.76</v>
      </c>
      <c r="D93" s="7">
        <v>0.91</v>
      </c>
      <c r="E93" s="17">
        <v>0.02</v>
      </c>
      <c r="F93" s="9">
        <v>0.89</v>
      </c>
      <c r="G93" s="9">
        <v>0.9</v>
      </c>
    </row>
    <row r="94" spans="2:7">
      <c r="B94" s="7">
        <v>0.71</v>
      </c>
      <c r="C94" s="7">
        <v>0.79</v>
      </c>
      <c r="D94" s="7">
        <v>0.62</v>
      </c>
      <c r="E94" s="17">
        <v>0.28999999999999998</v>
      </c>
      <c r="F94" s="9">
        <v>0.83</v>
      </c>
      <c r="G94" s="9">
        <v>0.9</v>
      </c>
    </row>
    <row r="95" spans="2:7">
      <c r="B95" s="7">
        <v>0.8</v>
      </c>
      <c r="C95" s="7">
        <v>-0.04</v>
      </c>
      <c r="D95" s="7">
        <v>0.76</v>
      </c>
      <c r="E95" s="17">
        <v>0.06</v>
      </c>
      <c r="F95" s="9">
        <v>0.89</v>
      </c>
      <c r="G95" s="9">
        <v>0.92</v>
      </c>
    </row>
    <row r="96" spans="2:7">
      <c r="B96" s="7">
        <v>0.8</v>
      </c>
      <c r="C96" s="7">
        <v>0.73</v>
      </c>
      <c r="D96" s="7">
        <v>0.84</v>
      </c>
      <c r="E96" s="17">
        <v>-0.02</v>
      </c>
      <c r="F96" s="9">
        <v>0.83</v>
      </c>
      <c r="G96" s="9">
        <v>0.98</v>
      </c>
    </row>
    <row r="97" spans="2:10">
      <c r="B97" s="7">
        <v>0.86</v>
      </c>
      <c r="C97" s="7">
        <v>0.67</v>
      </c>
      <c r="D97" s="7">
        <v>0.96</v>
      </c>
      <c r="E97" s="17">
        <v>0.05</v>
      </c>
      <c r="F97" s="9">
        <v>0.86</v>
      </c>
      <c r="G97" s="9">
        <v>0.96</v>
      </c>
    </row>
    <row r="98" spans="2:10">
      <c r="B98" s="7">
        <v>0.83</v>
      </c>
      <c r="C98" s="7">
        <v>0.71</v>
      </c>
      <c r="D98" s="7">
        <v>0.98</v>
      </c>
      <c r="E98" s="17">
        <v>0.39</v>
      </c>
      <c r="F98" s="9">
        <v>0.72</v>
      </c>
      <c r="G98" s="9">
        <v>0.91</v>
      </c>
    </row>
    <row r="99" spans="2:10">
      <c r="B99" s="7">
        <v>0.73</v>
      </c>
      <c r="C99" s="7">
        <v>0.8</v>
      </c>
      <c r="D99" s="7">
        <v>0.98</v>
      </c>
      <c r="E99" s="17">
        <v>0.47</v>
      </c>
      <c r="F99" s="9">
        <v>0.93</v>
      </c>
      <c r="G99" s="9">
        <v>0.95</v>
      </c>
    </row>
    <row r="100" spans="2:10">
      <c r="B100" s="7">
        <v>0.71</v>
      </c>
      <c r="C100" s="7">
        <v>0.76</v>
      </c>
      <c r="D100" s="7">
        <v>0.91</v>
      </c>
      <c r="E100" s="17">
        <v>0.2</v>
      </c>
      <c r="F100" s="9">
        <v>0.89</v>
      </c>
      <c r="G100" s="9">
        <v>0.9</v>
      </c>
    </row>
    <row r="101" spans="2:10">
      <c r="B101" s="7">
        <v>0.8</v>
      </c>
      <c r="C101" s="7">
        <v>-0.02</v>
      </c>
      <c r="D101" s="7">
        <v>0.8</v>
      </c>
      <c r="E101" s="17">
        <v>0.4</v>
      </c>
      <c r="F101" s="9">
        <v>0.86</v>
      </c>
      <c r="G101" s="9">
        <v>0.92</v>
      </c>
    </row>
    <row r="102" spans="2:10">
      <c r="B102" s="10">
        <v>0.83</v>
      </c>
      <c r="C102" s="10">
        <v>0.83</v>
      </c>
      <c r="D102" s="10">
        <v>0.84</v>
      </c>
      <c r="E102" s="18">
        <v>0.37</v>
      </c>
      <c r="F102" s="12">
        <v>0.81</v>
      </c>
      <c r="G102" s="12">
        <v>0.9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 ht="15" customHeight="1">
      <c r="B107" s="71" t="s">
        <v>19</v>
      </c>
      <c r="C107" s="79">
        <v>0.76229999999999998</v>
      </c>
      <c r="D107" s="79">
        <v>7.1900000000000006E-2</v>
      </c>
      <c r="E107" s="79">
        <v>0.78</v>
      </c>
      <c r="F107" s="79">
        <v>0.74819999999999998</v>
      </c>
      <c r="G107" s="79">
        <v>0.77639999999999998</v>
      </c>
      <c r="H107" s="81">
        <v>0.37</v>
      </c>
      <c r="I107" s="81">
        <v>0.88</v>
      </c>
      <c r="J107" s="72">
        <v>9.4</v>
      </c>
    </row>
    <row r="108" spans="2:10" ht="15" customHeight="1">
      <c r="B108" s="71" t="s">
        <v>20</v>
      </c>
      <c r="C108" s="79">
        <v>0.60829999999999995</v>
      </c>
      <c r="D108" s="79">
        <v>0.28810000000000002</v>
      </c>
      <c r="E108" s="79">
        <v>0.72</v>
      </c>
      <c r="F108" s="79">
        <v>0.55179999999999996</v>
      </c>
      <c r="G108" s="79">
        <v>0.66479999999999995</v>
      </c>
      <c r="H108" s="81">
        <v>-0.09</v>
      </c>
      <c r="I108" s="81">
        <v>0.94</v>
      </c>
      <c r="J108" s="72">
        <v>47.4</v>
      </c>
    </row>
    <row r="109" spans="2:10" ht="15" customHeight="1">
      <c r="B109" s="71" t="s">
        <v>3</v>
      </c>
      <c r="C109" s="79">
        <v>0.88239999999999996</v>
      </c>
      <c r="D109" s="79">
        <v>0.12720000000000001</v>
      </c>
      <c r="E109" s="79">
        <v>0.92</v>
      </c>
      <c r="F109" s="79">
        <v>0.85750000000000004</v>
      </c>
      <c r="G109" s="79">
        <v>0.9073</v>
      </c>
      <c r="H109" s="81">
        <v>0.12</v>
      </c>
      <c r="I109" s="81">
        <v>1.03</v>
      </c>
      <c r="J109" s="72">
        <v>14.4</v>
      </c>
    </row>
    <row r="110" spans="2:10" ht="15" customHeight="1">
      <c r="B110" s="71" t="s">
        <v>21</v>
      </c>
      <c r="C110" s="79">
        <v>0.29830000000000001</v>
      </c>
      <c r="D110" s="79">
        <v>0.2112</v>
      </c>
      <c r="E110" s="79">
        <v>0.3</v>
      </c>
      <c r="F110" s="79">
        <v>0.25690000000000002</v>
      </c>
      <c r="G110" s="79">
        <v>0.3397</v>
      </c>
      <c r="H110" s="81">
        <v>-0.02</v>
      </c>
      <c r="I110" s="81">
        <v>0.74</v>
      </c>
      <c r="J110" s="72">
        <v>70.8</v>
      </c>
    </row>
    <row r="111" spans="2:10" ht="15" customHeight="1">
      <c r="B111" s="71" t="s">
        <v>22</v>
      </c>
      <c r="C111" s="79">
        <v>0.86009999999999998</v>
      </c>
      <c r="D111" s="79">
        <v>7.5899999999999995E-2</v>
      </c>
      <c r="E111" s="79">
        <v>0.87</v>
      </c>
      <c r="F111" s="79">
        <v>0.84519999999999995</v>
      </c>
      <c r="G111" s="79">
        <v>0.875</v>
      </c>
      <c r="H111" s="81">
        <v>0.38</v>
      </c>
      <c r="I111" s="81">
        <v>0.96</v>
      </c>
      <c r="J111" s="72">
        <v>8.8000000000000007</v>
      </c>
    </row>
    <row r="112" spans="2:10" ht="15" customHeight="1">
      <c r="B112" s="73" t="s">
        <v>6</v>
      </c>
      <c r="C112" s="80">
        <v>0.92190000000000005</v>
      </c>
      <c r="D112" s="80">
        <v>5.1999999999999998E-2</v>
      </c>
      <c r="E112" s="80">
        <v>0.92</v>
      </c>
      <c r="F112" s="80">
        <v>0.91169999999999995</v>
      </c>
      <c r="G112" s="80">
        <v>0.93210000000000004</v>
      </c>
      <c r="H112" s="82">
        <v>0.74</v>
      </c>
      <c r="I112" s="82">
        <v>1.03</v>
      </c>
      <c r="J112" s="74">
        <v>5.6</v>
      </c>
    </row>
    <row r="113" spans="2:10" ht="15" customHeight="1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 ht="15" customHeight="1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 ht="15" customHeight="1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 ht="15" customHeight="1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5" customHeight="1">
      <c r="B117" s="77">
        <v>35.145099999999999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 ht="15" customHeight="1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 ht="15" customHeight="1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 ht="15" customHeight="1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 ht="15" customHeight="1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5" customHeight="1">
      <c r="B122" s="87">
        <v>217.99039999999999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 ht="15" customHeight="1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 ht="15" customHeight="1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 ht="15" customHeight="1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 ht="15" customHeight="1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 ht="15" customHeight="1">
      <c r="B127" s="93" t="s">
        <v>19</v>
      </c>
      <c r="C127" s="95" t="s">
        <v>20</v>
      </c>
      <c r="D127" s="91">
        <v>0.154</v>
      </c>
      <c r="E127" s="91">
        <v>2.9700000000000001E-2</v>
      </c>
      <c r="F127" s="91">
        <v>9.5200000000000007E-2</v>
      </c>
      <c r="G127" s="91">
        <v>0.21279999999999999</v>
      </c>
      <c r="H127" s="92" t="s">
        <v>27</v>
      </c>
      <c r="I127" s="89" t="s">
        <v>41</v>
      </c>
      <c r="J127" s="66"/>
    </row>
    <row r="128" spans="2:10" ht="15" customHeight="1">
      <c r="B128" s="71" t="s">
        <v>19</v>
      </c>
      <c r="C128" s="96" t="s">
        <v>3</v>
      </c>
      <c r="D128" s="79">
        <v>-0.1201</v>
      </c>
      <c r="E128" s="79">
        <v>1.46E-2</v>
      </c>
      <c r="F128" s="79">
        <v>-0.14899999999999999</v>
      </c>
      <c r="G128" s="79">
        <v>-9.1200000000000003E-2</v>
      </c>
      <c r="H128" s="88" t="s">
        <v>27</v>
      </c>
      <c r="I128" s="90" t="s">
        <v>41</v>
      </c>
      <c r="J128" s="66"/>
    </row>
    <row r="129" spans="2:10" ht="15" customHeight="1">
      <c r="B129" s="71" t="s">
        <v>19</v>
      </c>
      <c r="C129" s="96" t="s">
        <v>21</v>
      </c>
      <c r="D129" s="79">
        <v>0.46400000000000002</v>
      </c>
      <c r="E129" s="79">
        <v>2.23E-2</v>
      </c>
      <c r="F129" s="79">
        <v>0.41980000000000001</v>
      </c>
      <c r="G129" s="79">
        <v>0.50819999999999999</v>
      </c>
      <c r="H129" s="88" t="s">
        <v>27</v>
      </c>
      <c r="I129" s="90" t="s">
        <v>41</v>
      </c>
      <c r="J129" s="66"/>
    </row>
    <row r="130" spans="2:10" ht="15" customHeight="1">
      <c r="B130" s="71" t="s">
        <v>19</v>
      </c>
      <c r="C130" s="96" t="s">
        <v>22</v>
      </c>
      <c r="D130" s="79">
        <v>-9.7799999999999998E-2</v>
      </c>
      <c r="E130" s="79">
        <v>1.04E-2</v>
      </c>
      <c r="F130" s="79">
        <v>-0.11840000000000001</v>
      </c>
      <c r="G130" s="79">
        <v>-7.7200000000000005E-2</v>
      </c>
      <c r="H130" s="88" t="s">
        <v>27</v>
      </c>
      <c r="I130" s="90" t="s">
        <v>41</v>
      </c>
      <c r="J130" s="66"/>
    </row>
    <row r="131" spans="2:10" ht="15" customHeight="1">
      <c r="B131" s="71" t="s">
        <v>19</v>
      </c>
      <c r="C131" s="96" t="s">
        <v>6</v>
      </c>
      <c r="D131" s="79">
        <v>-0.15959999999999999</v>
      </c>
      <c r="E131" s="79">
        <v>8.8999999999999999E-3</v>
      </c>
      <c r="F131" s="79">
        <v>-0.17710000000000001</v>
      </c>
      <c r="G131" s="79">
        <v>-0.1421</v>
      </c>
      <c r="H131" s="88" t="s">
        <v>27</v>
      </c>
      <c r="I131" s="90" t="s">
        <v>41</v>
      </c>
      <c r="J131" s="66"/>
    </row>
    <row r="132" spans="2:10" ht="15" customHeight="1">
      <c r="B132" s="71" t="s">
        <v>20</v>
      </c>
      <c r="C132" s="96" t="s">
        <v>3</v>
      </c>
      <c r="D132" s="79">
        <v>-0.27410000000000001</v>
      </c>
      <c r="E132" s="79">
        <v>3.15E-2</v>
      </c>
      <c r="F132" s="79">
        <v>-0.33639999999999998</v>
      </c>
      <c r="G132" s="79">
        <v>-0.21179999999999999</v>
      </c>
      <c r="H132" s="88" t="s">
        <v>27</v>
      </c>
      <c r="I132" s="90" t="s">
        <v>41</v>
      </c>
      <c r="J132" s="66"/>
    </row>
    <row r="133" spans="2:10" ht="15" customHeight="1">
      <c r="B133" s="71" t="s">
        <v>20</v>
      </c>
      <c r="C133" s="96" t="s">
        <v>21</v>
      </c>
      <c r="D133" s="79">
        <v>0.31</v>
      </c>
      <c r="E133" s="79">
        <v>3.5700000000000003E-2</v>
      </c>
      <c r="F133" s="79">
        <v>0.23949999999999999</v>
      </c>
      <c r="G133" s="79">
        <v>0.3805</v>
      </c>
      <c r="H133" s="88" t="s">
        <v>27</v>
      </c>
      <c r="I133" s="90" t="s">
        <v>41</v>
      </c>
      <c r="J133" s="66"/>
    </row>
    <row r="134" spans="2:10" ht="15" customHeight="1">
      <c r="B134" s="71" t="s">
        <v>20</v>
      </c>
      <c r="C134" s="96" t="s">
        <v>22</v>
      </c>
      <c r="D134" s="79">
        <v>-0.25180000000000002</v>
      </c>
      <c r="E134" s="79">
        <v>2.98E-2</v>
      </c>
      <c r="F134" s="79">
        <v>-0.31080000000000002</v>
      </c>
      <c r="G134" s="79">
        <v>-0.1928</v>
      </c>
      <c r="H134" s="88" t="s">
        <v>27</v>
      </c>
      <c r="I134" s="90" t="s">
        <v>41</v>
      </c>
      <c r="J134" s="66"/>
    </row>
    <row r="135" spans="2:10" ht="15" customHeight="1">
      <c r="B135" s="71" t="s">
        <v>20</v>
      </c>
      <c r="C135" s="96" t="s">
        <v>6</v>
      </c>
      <c r="D135" s="79">
        <v>-0.31359999999999999</v>
      </c>
      <c r="E135" s="79">
        <v>2.93E-2</v>
      </c>
      <c r="F135" s="79">
        <v>-0.37169999999999997</v>
      </c>
      <c r="G135" s="79">
        <v>-0.2555</v>
      </c>
      <c r="H135" s="88" t="s">
        <v>27</v>
      </c>
      <c r="I135" s="90" t="s">
        <v>41</v>
      </c>
      <c r="J135" s="66"/>
    </row>
    <row r="136" spans="2:10" ht="15" customHeight="1">
      <c r="B136" s="71" t="s">
        <v>3</v>
      </c>
      <c r="C136" s="96" t="s">
        <v>21</v>
      </c>
      <c r="D136" s="79">
        <v>0.58409999999999995</v>
      </c>
      <c r="E136" s="79">
        <v>2.47E-2</v>
      </c>
      <c r="F136" s="79">
        <v>0.53539999999999999</v>
      </c>
      <c r="G136" s="79">
        <v>0.63280000000000003</v>
      </c>
      <c r="H136" s="88" t="s">
        <v>27</v>
      </c>
      <c r="I136" s="90" t="s">
        <v>41</v>
      </c>
      <c r="J136" s="66"/>
    </row>
    <row r="137" spans="2:10" ht="15" customHeight="1">
      <c r="B137" s="71" t="s">
        <v>3</v>
      </c>
      <c r="C137" s="96" t="s">
        <v>22</v>
      </c>
      <c r="D137" s="79">
        <v>2.23E-2</v>
      </c>
      <c r="E137" s="79">
        <v>1.4800000000000001E-2</v>
      </c>
      <c r="F137" s="79">
        <v>-6.8999999999999999E-3</v>
      </c>
      <c r="G137" s="79">
        <v>5.1499999999999997E-2</v>
      </c>
      <c r="H137" s="97">
        <v>0.1341</v>
      </c>
      <c r="I137" s="90" t="s">
        <v>40</v>
      </c>
      <c r="J137" s="66"/>
    </row>
    <row r="138" spans="2:10" ht="15" customHeight="1">
      <c r="B138" s="71" t="s">
        <v>3</v>
      </c>
      <c r="C138" s="96" t="s">
        <v>6</v>
      </c>
      <c r="D138" s="79">
        <v>-3.95E-2</v>
      </c>
      <c r="E138" s="79">
        <v>1.37E-2</v>
      </c>
      <c r="F138" s="79">
        <v>-6.6699999999999995E-2</v>
      </c>
      <c r="G138" s="79">
        <v>-1.23E-2</v>
      </c>
      <c r="H138" s="88">
        <v>5.0000000000000001E-3</v>
      </c>
      <c r="I138" s="90" t="s">
        <v>41</v>
      </c>
      <c r="J138" s="66"/>
    </row>
    <row r="139" spans="2:10" ht="15" customHeight="1">
      <c r="B139" s="71" t="s">
        <v>21</v>
      </c>
      <c r="C139" s="96" t="s">
        <v>22</v>
      </c>
      <c r="D139" s="79">
        <v>-0.56179999999999997</v>
      </c>
      <c r="E139" s="79">
        <v>2.24E-2</v>
      </c>
      <c r="F139" s="79">
        <v>-0.60619999999999996</v>
      </c>
      <c r="G139" s="79">
        <v>-0.51739999999999997</v>
      </c>
      <c r="H139" s="88" t="s">
        <v>27</v>
      </c>
      <c r="I139" s="90" t="s">
        <v>41</v>
      </c>
      <c r="J139" s="66"/>
    </row>
    <row r="140" spans="2:10" ht="15" customHeight="1">
      <c r="B140" s="71" t="s">
        <v>21</v>
      </c>
      <c r="C140" s="96" t="s">
        <v>6</v>
      </c>
      <c r="D140" s="79">
        <v>-0.62360000000000004</v>
      </c>
      <c r="E140" s="79">
        <v>2.18E-2</v>
      </c>
      <c r="F140" s="79">
        <v>-0.66669999999999996</v>
      </c>
      <c r="G140" s="79">
        <v>-0.58050000000000002</v>
      </c>
      <c r="H140" s="88" t="s">
        <v>27</v>
      </c>
      <c r="I140" s="90" t="s">
        <v>41</v>
      </c>
      <c r="J140" s="66"/>
    </row>
    <row r="141" spans="2:10" ht="15" customHeight="1">
      <c r="B141" s="73" t="s">
        <v>22</v>
      </c>
      <c r="C141" s="94" t="s">
        <v>6</v>
      </c>
      <c r="D141" s="80">
        <v>-6.1800000000000001E-2</v>
      </c>
      <c r="E141" s="80">
        <v>9.1999999999999998E-3</v>
      </c>
      <c r="F141" s="80">
        <v>-7.9899999999999999E-2</v>
      </c>
      <c r="G141" s="80">
        <v>-4.3700000000000003E-2</v>
      </c>
      <c r="H141" s="84" t="s">
        <v>27</v>
      </c>
      <c r="I141" s="85" t="s">
        <v>41</v>
      </c>
      <c r="J141" s="66"/>
    </row>
    <row r="142" spans="2:10" ht="15" customHeight="1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 ht="15" customHeight="1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E8C31-8262-46A1-B01D-12B156A1DE44}">
  <dimension ref="B1:J143"/>
  <sheetViews>
    <sheetView topLeftCell="A123" workbookViewId="0">
      <selection activeCell="A144" sqref="A144:XFD160"/>
    </sheetView>
  </sheetViews>
  <sheetFormatPr defaultRowHeight="12.75"/>
  <cols>
    <col min="1" max="1" width="9.140625" style="38"/>
    <col min="2" max="2" width="12.42578125" style="38" customWidth="1"/>
    <col min="3" max="3" width="11.85546875" style="38" bestFit="1" customWidth="1"/>
    <col min="4" max="4" width="15.85546875" style="38" bestFit="1" customWidth="1"/>
    <col min="5" max="5" width="11.85546875" style="38" bestFit="1" customWidth="1"/>
    <col min="6" max="6" width="13.85546875" style="38" bestFit="1" customWidth="1"/>
    <col min="7" max="7" width="15.140625" style="38" bestFit="1" customWidth="1"/>
    <col min="8" max="9" width="11.85546875" style="38" bestFit="1" customWidth="1"/>
    <col min="10" max="10" width="12.7109375" style="38" bestFit="1" customWidth="1"/>
    <col min="11" max="16384" width="9.140625" style="38"/>
  </cols>
  <sheetData>
    <row r="1" spans="2:7">
      <c r="B1" s="53" t="s">
        <v>46</v>
      </c>
      <c r="C1" s="57"/>
      <c r="D1" s="57"/>
      <c r="E1" s="57"/>
      <c r="F1" s="57"/>
      <c r="G1" s="58"/>
    </row>
    <row r="2" spans="2:7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2:7">
      <c r="B3" s="4">
        <v>12.07</v>
      </c>
      <c r="C3" s="5">
        <v>12.07</v>
      </c>
      <c r="D3" s="5">
        <v>10.93</v>
      </c>
      <c r="E3" s="5">
        <v>14.83</v>
      </c>
      <c r="F3" s="5">
        <v>11.37</v>
      </c>
      <c r="G3" s="6">
        <v>10.199999999999999</v>
      </c>
    </row>
    <row r="4" spans="2:7">
      <c r="B4" s="7">
        <v>12.17</v>
      </c>
      <c r="C4" s="8">
        <v>11.63</v>
      </c>
      <c r="D4" s="8">
        <v>10.07</v>
      </c>
      <c r="E4" s="8">
        <v>15.67</v>
      </c>
      <c r="F4" s="8">
        <v>12.53</v>
      </c>
      <c r="G4" s="9">
        <v>10.77</v>
      </c>
    </row>
    <row r="5" spans="2:7">
      <c r="B5" s="7">
        <v>10.87</v>
      </c>
      <c r="C5" s="8">
        <v>12.77</v>
      </c>
      <c r="D5" s="8">
        <v>10.77</v>
      </c>
      <c r="E5" s="8">
        <v>14.57</v>
      </c>
      <c r="F5" s="8">
        <v>12.23</v>
      </c>
      <c r="G5" s="9">
        <v>9.4</v>
      </c>
    </row>
    <row r="6" spans="2:7">
      <c r="B6" s="7">
        <v>11.37</v>
      </c>
      <c r="C6" s="8">
        <v>11.5</v>
      </c>
      <c r="D6" s="8">
        <v>11.57</v>
      </c>
      <c r="E6" s="8">
        <v>17.07</v>
      </c>
      <c r="F6" s="8">
        <v>11.3</v>
      </c>
      <c r="G6" s="9">
        <v>9.43</v>
      </c>
    </row>
    <row r="7" spans="2:7">
      <c r="B7" s="7">
        <v>11.13</v>
      </c>
      <c r="C7" s="8">
        <v>11.1</v>
      </c>
      <c r="D7" s="8">
        <v>10.23</v>
      </c>
      <c r="E7" s="8">
        <v>17.57</v>
      </c>
      <c r="F7" s="8">
        <v>11.5</v>
      </c>
      <c r="G7" s="9">
        <v>9.4</v>
      </c>
    </row>
    <row r="8" spans="2:7">
      <c r="B8" s="7">
        <v>11</v>
      </c>
      <c r="C8" s="8">
        <v>11.57</v>
      </c>
      <c r="D8" s="8">
        <v>10.93</v>
      </c>
      <c r="E8" s="8">
        <v>18.23</v>
      </c>
      <c r="F8" s="8">
        <v>13.3</v>
      </c>
      <c r="G8" s="9">
        <v>9.27</v>
      </c>
    </row>
    <row r="9" spans="2:7">
      <c r="B9" s="7">
        <v>11.8</v>
      </c>
      <c r="C9" s="8">
        <v>11.13</v>
      </c>
      <c r="D9" s="8">
        <v>10.73</v>
      </c>
      <c r="E9" s="8">
        <v>14.87</v>
      </c>
      <c r="F9" s="8">
        <v>11.5</v>
      </c>
      <c r="G9" s="9">
        <v>10.43</v>
      </c>
    </row>
    <row r="10" spans="2:7">
      <c r="B10" s="7">
        <v>12.4</v>
      </c>
      <c r="C10" s="8">
        <v>11.83</v>
      </c>
      <c r="D10" s="8">
        <v>10.33</v>
      </c>
      <c r="E10" s="8">
        <v>16.77</v>
      </c>
      <c r="F10" s="8">
        <v>13.37</v>
      </c>
      <c r="G10" s="9">
        <v>10.130000000000001</v>
      </c>
    </row>
    <row r="11" spans="2:7">
      <c r="B11" s="7">
        <v>11.27</v>
      </c>
      <c r="C11" s="8">
        <v>12.13</v>
      </c>
      <c r="D11" s="8">
        <v>10.77</v>
      </c>
      <c r="E11" s="8">
        <v>14.67</v>
      </c>
      <c r="F11" s="8">
        <v>11.67</v>
      </c>
      <c r="G11" s="9">
        <v>10.53</v>
      </c>
    </row>
    <row r="12" spans="2:7">
      <c r="B12" s="7">
        <v>12.07</v>
      </c>
      <c r="C12" s="8">
        <v>12.2</v>
      </c>
      <c r="D12" s="8">
        <v>10.17</v>
      </c>
      <c r="E12" s="8">
        <v>17.47</v>
      </c>
      <c r="F12" s="8">
        <v>12.2</v>
      </c>
      <c r="G12" s="9">
        <v>10.8</v>
      </c>
    </row>
    <row r="13" spans="2:7">
      <c r="B13" s="7">
        <v>12.53</v>
      </c>
      <c r="C13" s="8">
        <v>12.3</v>
      </c>
      <c r="D13" s="8">
        <v>10.07</v>
      </c>
      <c r="E13" s="8">
        <v>14.83</v>
      </c>
      <c r="F13" s="8">
        <v>12.17</v>
      </c>
      <c r="G13" s="9">
        <v>9.77</v>
      </c>
    </row>
    <row r="14" spans="2:7">
      <c r="B14" s="7">
        <v>11.33</v>
      </c>
      <c r="C14" s="8">
        <v>12.4</v>
      </c>
      <c r="D14" s="8">
        <v>10.73</v>
      </c>
      <c r="E14" s="8">
        <v>15.1</v>
      </c>
      <c r="F14" s="8">
        <v>11.57</v>
      </c>
      <c r="G14" s="9">
        <v>9.5299999999999994</v>
      </c>
    </row>
    <row r="15" spans="2:7">
      <c r="B15" s="7">
        <v>11.57</v>
      </c>
      <c r="C15" s="8">
        <v>13.33</v>
      </c>
      <c r="D15" s="8">
        <v>10.53</v>
      </c>
      <c r="E15" s="8">
        <v>14.87</v>
      </c>
      <c r="F15" s="8">
        <v>11.37</v>
      </c>
      <c r="G15" s="9">
        <v>10.73</v>
      </c>
    </row>
    <row r="16" spans="2:7">
      <c r="B16" s="7">
        <v>11</v>
      </c>
      <c r="C16" s="8">
        <v>11.7</v>
      </c>
      <c r="D16" s="8">
        <v>10.33</v>
      </c>
      <c r="E16" s="8">
        <v>17.37</v>
      </c>
      <c r="F16" s="8">
        <v>12.03</v>
      </c>
      <c r="G16" s="9">
        <v>10.6</v>
      </c>
    </row>
    <row r="17" spans="2:7">
      <c r="B17" s="7">
        <v>11.93</v>
      </c>
      <c r="C17" s="8">
        <v>11.57</v>
      </c>
      <c r="D17" s="8">
        <v>10.3</v>
      </c>
      <c r="E17" s="8">
        <v>15.7</v>
      </c>
      <c r="F17" s="8">
        <v>12.07</v>
      </c>
      <c r="G17" s="9">
        <v>10.17</v>
      </c>
    </row>
    <row r="18" spans="2:7">
      <c r="B18" s="7">
        <v>11.77</v>
      </c>
      <c r="C18" s="8">
        <v>11.5</v>
      </c>
      <c r="D18" s="8">
        <v>10.5</v>
      </c>
      <c r="E18" s="8">
        <v>15.37</v>
      </c>
      <c r="F18" s="8">
        <v>11.43</v>
      </c>
      <c r="G18" s="9">
        <v>10.6</v>
      </c>
    </row>
    <row r="19" spans="2:7">
      <c r="B19" s="7">
        <v>12.63</v>
      </c>
      <c r="C19" s="8">
        <v>11.93</v>
      </c>
      <c r="D19" s="8">
        <v>12.7</v>
      </c>
      <c r="E19" s="8">
        <v>16.97</v>
      </c>
      <c r="F19" s="8">
        <v>11.3</v>
      </c>
      <c r="G19" s="9">
        <v>10.93</v>
      </c>
    </row>
    <row r="20" spans="2:7">
      <c r="B20" s="7">
        <v>11.47</v>
      </c>
      <c r="C20" s="8">
        <v>12.1</v>
      </c>
      <c r="D20" s="8">
        <v>10.4</v>
      </c>
      <c r="E20" s="8">
        <v>16.77</v>
      </c>
      <c r="F20" s="8">
        <v>11.13</v>
      </c>
      <c r="G20" s="9">
        <v>10</v>
      </c>
    </row>
    <row r="21" spans="2:7">
      <c r="B21" s="7">
        <v>12.67</v>
      </c>
      <c r="C21" s="8">
        <v>11.27</v>
      </c>
      <c r="D21" s="8">
        <v>10.7</v>
      </c>
      <c r="E21" s="8">
        <v>15.9</v>
      </c>
      <c r="F21" s="8">
        <v>11.33</v>
      </c>
      <c r="G21" s="9">
        <v>10.53</v>
      </c>
    </row>
    <row r="22" spans="2:7">
      <c r="B22" s="7">
        <v>11.3</v>
      </c>
      <c r="C22" s="8">
        <v>10.97</v>
      </c>
      <c r="D22" s="8">
        <v>10.83</v>
      </c>
      <c r="E22" s="8">
        <v>15.4</v>
      </c>
      <c r="F22" s="8">
        <v>11.83</v>
      </c>
      <c r="G22" s="9">
        <v>9.6300000000000008</v>
      </c>
    </row>
    <row r="23" spans="2:7">
      <c r="B23" s="7">
        <v>11.6</v>
      </c>
      <c r="C23" s="8">
        <v>11.33</v>
      </c>
      <c r="D23" s="8">
        <v>10.27</v>
      </c>
      <c r="E23" s="8">
        <v>16.399999999999999</v>
      </c>
      <c r="F23" s="8">
        <v>12.03</v>
      </c>
      <c r="G23" s="9">
        <v>9.6</v>
      </c>
    </row>
    <row r="24" spans="2:7">
      <c r="B24" s="7">
        <v>11.8</v>
      </c>
      <c r="C24" s="8">
        <v>11.57</v>
      </c>
      <c r="D24" s="8">
        <v>10.63</v>
      </c>
      <c r="E24" s="8">
        <v>15.6</v>
      </c>
      <c r="F24" s="8">
        <v>11.43</v>
      </c>
      <c r="G24" s="9">
        <v>11.1</v>
      </c>
    </row>
    <row r="25" spans="2:7">
      <c r="B25" s="7">
        <v>11.2</v>
      </c>
      <c r="C25" s="8">
        <v>11.57</v>
      </c>
      <c r="D25" s="8">
        <v>11.13</v>
      </c>
      <c r="E25" s="8">
        <v>16.829999999999998</v>
      </c>
      <c r="F25" s="8">
        <v>11.8</v>
      </c>
      <c r="G25" s="9">
        <v>9.8699999999999992</v>
      </c>
    </row>
    <row r="26" spans="2:7">
      <c r="B26" s="7">
        <v>10.77</v>
      </c>
      <c r="C26" s="8">
        <v>11.03</v>
      </c>
      <c r="D26" s="8">
        <v>10.73</v>
      </c>
      <c r="E26" s="8">
        <v>15.8</v>
      </c>
      <c r="F26" s="8">
        <v>10.97</v>
      </c>
      <c r="G26" s="9">
        <v>9.77</v>
      </c>
    </row>
    <row r="27" spans="2:7">
      <c r="B27" s="7">
        <v>11.83</v>
      </c>
      <c r="C27" s="8">
        <v>11.73</v>
      </c>
      <c r="D27" s="8">
        <v>12.07</v>
      </c>
      <c r="E27" s="8">
        <v>15.47</v>
      </c>
      <c r="F27" s="8">
        <v>11.7</v>
      </c>
      <c r="G27" s="9">
        <v>10.7</v>
      </c>
    </row>
    <row r="28" spans="2:7">
      <c r="B28" s="7">
        <v>12.33</v>
      </c>
      <c r="C28" s="8">
        <v>11.27</v>
      </c>
      <c r="D28" s="8">
        <v>10.8</v>
      </c>
      <c r="E28" s="8">
        <v>16.600000000000001</v>
      </c>
      <c r="F28" s="8">
        <v>10.53</v>
      </c>
      <c r="G28" s="9">
        <v>9.5299999999999994</v>
      </c>
    </row>
    <row r="29" spans="2:7">
      <c r="B29" s="7">
        <v>12.6</v>
      </c>
      <c r="C29" s="8">
        <v>12.33</v>
      </c>
      <c r="D29" s="8">
        <v>10.87</v>
      </c>
      <c r="E29" s="8">
        <v>14.93</v>
      </c>
      <c r="F29" s="8">
        <v>12.13</v>
      </c>
      <c r="G29" s="9">
        <v>9.4</v>
      </c>
    </row>
    <row r="30" spans="2:7">
      <c r="B30" s="7">
        <v>11.2</v>
      </c>
      <c r="C30" s="8">
        <v>11.6</v>
      </c>
      <c r="D30" s="8">
        <v>10.87</v>
      </c>
      <c r="E30" s="8">
        <v>17.2</v>
      </c>
      <c r="F30" s="8">
        <v>12.3</v>
      </c>
      <c r="G30" s="9">
        <v>10.53</v>
      </c>
    </row>
    <row r="31" spans="2:7">
      <c r="B31" s="7">
        <v>11.87</v>
      </c>
      <c r="C31" s="8">
        <v>11.03</v>
      </c>
      <c r="D31" s="8">
        <v>10.8</v>
      </c>
      <c r="E31" s="8">
        <v>17.77</v>
      </c>
      <c r="F31" s="8">
        <v>11.23</v>
      </c>
      <c r="G31" s="9">
        <v>10.17</v>
      </c>
    </row>
    <row r="32" spans="2:7">
      <c r="B32" s="7">
        <v>10.5</v>
      </c>
      <c r="C32" s="8">
        <v>11.97</v>
      </c>
      <c r="D32" s="8">
        <v>10.47</v>
      </c>
      <c r="E32" s="8">
        <v>14.87</v>
      </c>
      <c r="F32" s="8">
        <v>11.63</v>
      </c>
      <c r="G32" s="9">
        <v>10.199999999999999</v>
      </c>
    </row>
    <row r="33" spans="2:7">
      <c r="B33" s="7">
        <v>12.83</v>
      </c>
      <c r="C33" s="8">
        <v>12.27</v>
      </c>
      <c r="D33" s="8">
        <v>10.67</v>
      </c>
      <c r="E33" s="8">
        <v>17.329999999999998</v>
      </c>
      <c r="F33" s="8">
        <v>12.63</v>
      </c>
      <c r="G33" s="9">
        <v>10.3</v>
      </c>
    </row>
    <row r="34" spans="2:7">
      <c r="B34" s="7">
        <v>11.87</v>
      </c>
      <c r="C34" s="8">
        <v>11.57</v>
      </c>
      <c r="D34" s="8">
        <v>10.5</v>
      </c>
      <c r="E34" s="8">
        <v>14.4</v>
      </c>
      <c r="F34" s="8">
        <v>11.07</v>
      </c>
      <c r="G34" s="9">
        <v>10.53</v>
      </c>
    </row>
    <row r="35" spans="2:7">
      <c r="B35" s="7">
        <v>10.87</v>
      </c>
      <c r="C35" s="8">
        <v>12.13</v>
      </c>
      <c r="D35" s="8">
        <v>10.6</v>
      </c>
      <c r="E35" s="8">
        <v>16.27</v>
      </c>
      <c r="F35" s="8">
        <v>12.33</v>
      </c>
      <c r="G35" s="9">
        <v>9.83</v>
      </c>
    </row>
    <row r="36" spans="2:7">
      <c r="B36" s="7">
        <v>11.57</v>
      </c>
      <c r="C36" s="8">
        <v>12.1</v>
      </c>
      <c r="D36" s="8">
        <v>10.73</v>
      </c>
      <c r="E36" s="8">
        <v>15.57</v>
      </c>
      <c r="F36" s="8">
        <v>12.13</v>
      </c>
      <c r="G36" s="9">
        <v>10.4</v>
      </c>
    </row>
    <row r="37" spans="2:7">
      <c r="B37" s="7">
        <v>12.23</v>
      </c>
      <c r="C37" s="8">
        <v>11.67</v>
      </c>
      <c r="D37" s="8">
        <v>10.87</v>
      </c>
      <c r="E37" s="8">
        <v>16.43</v>
      </c>
      <c r="F37" s="8">
        <v>12.23</v>
      </c>
      <c r="G37" s="9">
        <v>10.53</v>
      </c>
    </row>
    <row r="38" spans="2:7">
      <c r="B38" s="7">
        <v>12.5</v>
      </c>
      <c r="C38" s="8">
        <v>11.07</v>
      </c>
      <c r="D38" s="8">
        <v>10.47</v>
      </c>
      <c r="E38" s="8">
        <v>16.100000000000001</v>
      </c>
      <c r="F38" s="8">
        <v>10.97</v>
      </c>
      <c r="G38" s="9">
        <v>9.4700000000000006</v>
      </c>
    </row>
    <row r="39" spans="2:7">
      <c r="B39" s="7">
        <v>12.2</v>
      </c>
      <c r="C39" s="8">
        <v>11.6</v>
      </c>
      <c r="D39" s="8">
        <v>10.83</v>
      </c>
      <c r="E39" s="8">
        <v>16.27</v>
      </c>
      <c r="F39" s="8">
        <v>11.87</v>
      </c>
      <c r="G39" s="9">
        <v>9.43</v>
      </c>
    </row>
    <row r="40" spans="2:7">
      <c r="B40" s="7">
        <v>11.33</v>
      </c>
      <c r="C40" s="8">
        <v>12.03</v>
      </c>
      <c r="D40" s="8">
        <v>11.3</v>
      </c>
      <c r="E40" s="8">
        <v>16.07</v>
      </c>
      <c r="F40" s="8">
        <v>12.07</v>
      </c>
      <c r="G40" s="9">
        <v>10.27</v>
      </c>
    </row>
    <row r="41" spans="2:7">
      <c r="B41" s="7">
        <v>11.7</v>
      </c>
      <c r="C41" s="8">
        <v>11.93</v>
      </c>
      <c r="D41" s="8">
        <v>10.53</v>
      </c>
      <c r="E41" s="8">
        <v>16.07</v>
      </c>
      <c r="F41" s="8">
        <v>11.47</v>
      </c>
      <c r="G41" s="9">
        <v>10.029999999999999</v>
      </c>
    </row>
    <row r="42" spans="2:7">
      <c r="B42" s="7">
        <v>12.47</v>
      </c>
      <c r="C42" s="8">
        <v>11.23</v>
      </c>
      <c r="D42" s="8">
        <v>10.57</v>
      </c>
      <c r="E42" s="8">
        <v>16.37</v>
      </c>
      <c r="F42" s="8">
        <v>12.03</v>
      </c>
      <c r="G42" s="9">
        <v>10.23</v>
      </c>
    </row>
    <row r="43" spans="2:7">
      <c r="B43" s="7">
        <v>11.77</v>
      </c>
      <c r="C43" s="8">
        <v>11.67</v>
      </c>
      <c r="D43" s="8">
        <v>10.7</v>
      </c>
      <c r="E43" s="8">
        <v>15.73</v>
      </c>
      <c r="F43" s="8">
        <v>10.93</v>
      </c>
      <c r="G43" s="9">
        <v>10.73</v>
      </c>
    </row>
    <row r="44" spans="2:7">
      <c r="B44" s="7">
        <v>11.5</v>
      </c>
      <c r="C44" s="8">
        <v>12.53</v>
      </c>
      <c r="D44" s="8">
        <v>10.93</v>
      </c>
      <c r="E44" s="8">
        <v>15.93</v>
      </c>
      <c r="F44" s="8">
        <v>12.67</v>
      </c>
      <c r="G44" s="9">
        <v>11.3</v>
      </c>
    </row>
    <row r="45" spans="2:7">
      <c r="B45" s="7">
        <v>11.27</v>
      </c>
      <c r="C45" s="8">
        <v>11.93</v>
      </c>
      <c r="D45" s="8">
        <v>10.47</v>
      </c>
      <c r="E45" s="8">
        <v>14.7</v>
      </c>
      <c r="F45" s="8">
        <v>12.03</v>
      </c>
      <c r="G45" s="9">
        <v>9.8699999999999992</v>
      </c>
    </row>
    <row r="46" spans="2:7">
      <c r="B46" s="7">
        <v>11.13</v>
      </c>
      <c r="C46" s="8">
        <v>11.43</v>
      </c>
      <c r="D46" s="8">
        <v>10.6</v>
      </c>
      <c r="E46" s="8">
        <v>16.53</v>
      </c>
      <c r="F46" s="8">
        <v>11.7</v>
      </c>
      <c r="G46" s="9">
        <v>10.53</v>
      </c>
    </row>
    <row r="47" spans="2:7">
      <c r="B47" s="7">
        <v>11.83</v>
      </c>
      <c r="C47" s="8">
        <v>10.73</v>
      </c>
      <c r="D47" s="8">
        <v>11.33</v>
      </c>
      <c r="E47" s="8">
        <v>14.13</v>
      </c>
      <c r="F47" s="8">
        <v>11.63</v>
      </c>
      <c r="G47" s="9">
        <v>10.43</v>
      </c>
    </row>
    <row r="48" spans="2:7">
      <c r="B48" s="7">
        <v>11.73</v>
      </c>
      <c r="C48" s="8">
        <v>11.53</v>
      </c>
      <c r="D48" s="8">
        <v>11.1</v>
      </c>
      <c r="E48" s="8">
        <v>15.73</v>
      </c>
      <c r="F48" s="8">
        <v>12.57</v>
      </c>
      <c r="G48" s="9">
        <v>10.130000000000001</v>
      </c>
    </row>
    <row r="49" spans="2:7">
      <c r="B49" s="7">
        <v>11.33</v>
      </c>
      <c r="C49" s="8">
        <v>11.03</v>
      </c>
      <c r="D49" s="8">
        <v>11.07</v>
      </c>
      <c r="E49" s="8">
        <v>15.57</v>
      </c>
      <c r="F49" s="8">
        <v>13.97</v>
      </c>
      <c r="G49" s="9">
        <v>9.93</v>
      </c>
    </row>
    <row r="50" spans="2:7">
      <c r="B50" s="7">
        <v>10.9</v>
      </c>
      <c r="C50" s="8">
        <v>11.33</v>
      </c>
      <c r="D50" s="8">
        <v>10.57</v>
      </c>
      <c r="E50" s="8">
        <v>16.600000000000001</v>
      </c>
      <c r="F50" s="8">
        <v>11.6</v>
      </c>
      <c r="G50" s="9">
        <v>10.4</v>
      </c>
    </row>
    <row r="51" spans="2:7">
      <c r="B51" s="7">
        <v>12</v>
      </c>
      <c r="C51" s="8">
        <v>12</v>
      </c>
      <c r="D51" s="8">
        <v>10.53</v>
      </c>
      <c r="E51" s="8">
        <v>14.6</v>
      </c>
      <c r="F51" s="8">
        <v>12.17</v>
      </c>
      <c r="G51" s="9">
        <v>9.83</v>
      </c>
    </row>
    <row r="52" spans="2:7">
      <c r="B52" s="7">
        <v>11.43</v>
      </c>
      <c r="C52" s="8">
        <v>12</v>
      </c>
      <c r="D52" s="8">
        <v>9.8699999999999992</v>
      </c>
      <c r="E52" s="8">
        <v>15.57</v>
      </c>
      <c r="F52" s="8">
        <v>12.17</v>
      </c>
      <c r="G52" s="9">
        <v>10.37</v>
      </c>
    </row>
    <row r="53" spans="2:7">
      <c r="B53" s="7">
        <v>11.4</v>
      </c>
      <c r="C53" s="8">
        <v>11.83</v>
      </c>
      <c r="D53" s="8">
        <v>11</v>
      </c>
      <c r="E53" s="8">
        <v>16.329999999999998</v>
      </c>
      <c r="F53" s="8">
        <v>11.77</v>
      </c>
      <c r="G53" s="9">
        <v>9.4700000000000006</v>
      </c>
    </row>
    <row r="54" spans="2:7">
      <c r="B54" s="7">
        <v>11.13</v>
      </c>
      <c r="C54" s="8">
        <v>12.6</v>
      </c>
      <c r="D54" s="8">
        <v>10.23</v>
      </c>
      <c r="E54" s="8">
        <v>15.47</v>
      </c>
      <c r="F54" s="8">
        <v>12.03</v>
      </c>
      <c r="G54" s="9">
        <v>11.03</v>
      </c>
    </row>
    <row r="55" spans="2:7">
      <c r="B55" s="7">
        <v>10.7</v>
      </c>
      <c r="C55" s="8">
        <v>11.3</v>
      </c>
      <c r="D55" s="8">
        <v>11.43</v>
      </c>
      <c r="E55" s="8">
        <v>17.8</v>
      </c>
      <c r="F55" s="8">
        <v>11.17</v>
      </c>
      <c r="G55" s="9">
        <v>10.97</v>
      </c>
    </row>
    <row r="56" spans="2:7">
      <c r="B56" s="7">
        <v>11.5</v>
      </c>
      <c r="C56" s="8">
        <v>11.27</v>
      </c>
      <c r="D56" s="8">
        <v>11.1</v>
      </c>
      <c r="E56" s="8">
        <v>17.63</v>
      </c>
      <c r="F56" s="8">
        <v>11.83</v>
      </c>
      <c r="G56" s="9">
        <v>10.5</v>
      </c>
    </row>
    <row r="57" spans="2:7">
      <c r="B57" s="7">
        <v>10.47</v>
      </c>
      <c r="C57" s="8">
        <v>11.23</v>
      </c>
      <c r="D57" s="8">
        <v>10.63</v>
      </c>
      <c r="E57" s="8">
        <v>17.100000000000001</v>
      </c>
      <c r="F57" s="8">
        <v>11.67</v>
      </c>
      <c r="G57" s="9">
        <v>10.97</v>
      </c>
    </row>
    <row r="58" spans="2:7">
      <c r="B58" s="7">
        <v>13</v>
      </c>
      <c r="C58" s="8">
        <v>12.3</v>
      </c>
      <c r="D58" s="8">
        <v>10.83</v>
      </c>
      <c r="E58" s="8">
        <v>15.3</v>
      </c>
      <c r="F58" s="8">
        <v>11.1</v>
      </c>
      <c r="G58" s="9">
        <v>9.4700000000000006</v>
      </c>
    </row>
    <row r="59" spans="2:7">
      <c r="B59" s="7">
        <v>11.23</v>
      </c>
      <c r="C59" s="8">
        <v>11.87</v>
      </c>
      <c r="D59" s="8">
        <v>10.27</v>
      </c>
      <c r="E59" s="8">
        <v>16.27</v>
      </c>
      <c r="F59" s="8">
        <v>11.17</v>
      </c>
      <c r="G59" s="9">
        <v>10.47</v>
      </c>
    </row>
    <row r="60" spans="2:7">
      <c r="B60" s="7">
        <v>11</v>
      </c>
      <c r="C60" s="8">
        <v>11.93</v>
      </c>
      <c r="D60" s="8">
        <v>11.47</v>
      </c>
      <c r="E60" s="8">
        <v>17.8</v>
      </c>
      <c r="F60" s="8">
        <v>11.3</v>
      </c>
      <c r="G60" s="9">
        <v>9.8000000000000007</v>
      </c>
    </row>
    <row r="61" spans="2:7">
      <c r="B61" s="7">
        <v>11.93</v>
      </c>
      <c r="C61" s="8">
        <v>11.07</v>
      </c>
      <c r="D61" s="8">
        <v>10.33</v>
      </c>
      <c r="E61" s="8">
        <v>17.329999999999998</v>
      </c>
      <c r="F61" s="8">
        <v>11.13</v>
      </c>
      <c r="G61" s="9">
        <v>10.47</v>
      </c>
    </row>
    <row r="62" spans="2:7">
      <c r="B62" s="7">
        <v>12.1</v>
      </c>
      <c r="C62" s="8">
        <v>10.7</v>
      </c>
      <c r="D62" s="8">
        <v>11.03</v>
      </c>
      <c r="E62" s="8">
        <v>15</v>
      </c>
      <c r="F62" s="8">
        <v>11.7</v>
      </c>
      <c r="G62" s="9">
        <v>9.6300000000000008</v>
      </c>
    </row>
    <row r="63" spans="2:7">
      <c r="B63" s="7">
        <v>10.9</v>
      </c>
      <c r="C63" s="8">
        <v>11.8</v>
      </c>
      <c r="D63" s="8">
        <v>11.33</v>
      </c>
      <c r="E63" s="8">
        <v>16.93</v>
      </c>
      <c r="F63" s="8">
        <v>11.7</v>
      </c>
      <c r="G63" s="9">
        <v>9.8000000000000007</v>
      </c>
    </row>
    <row r="64" spans="2:7">
      <c r="B64" s="7">
        <v>11.9</v>
      </c>
      <c r="C64" s="8">
        <v>13.33</v>
      </c>
      <c r="D64" s="8">
        <v>10.67</v>
      </c>
      <c r="E64" s="8">
        <v>18.37</v>
      </c>
      <c r="F64" s="8">
        <v>11.6</v>
      </c>
      <c r="G64" s="9">
        <v>9.73</v>
      </c>
    </row>
    <row r="65" spans="2:7">
      <c r="B65" s="7">
        <v>11.93</v>
      </c>
      <c r="C65" s="8">
        <v>11.47</v>
      </c>
      <c r="D65" s="8">
        <v>11.5</v>
      </c>
      <c r="E65" s="8">
        <v>16.77</v>
      </c>
      <c r="F65" s="8">
        <v>13.1</v>
      </c>
      <c r="G65" s="9">
        <v>11.5</v>
      </c>
    </row>
    <row r="66" spans="2:7">
      <c r="B66" s="7">
        <v>11.83</v>
      </c>
      <c r="C66" s="8">
        <v>11.43</v>
      </c>
      <c r="D66" s="8">
        <v>12.13</v>
      </c>
      <c r="E66" s="8">
        <v>15.27</v>
      </c>
      <c r="F66" s="8">
        <v>11.5</v>
      </c>
      <c r="G66" s="9">
        <v>11.07</v>
      </c>
    </row>
    <row r="67" spans="2:7">
      <c r="B67" s="7">
        <v>10.53</v>
      </c>
      <c r="C67" s="8">
        <v>10.97</v>
      </c>
      <c r="D67" s="8">
        <v>10.3</v>
      </c>
      <c r="E67" s="8">
        <v>15.63</v>
      </c>
      <c r="F67" s="8">
        <v>13.37</v>
      </c>
      <c r="G67" s="9">
        <v>9.77</v>
      </c>
    </row>
    <row r="68" spans="2:7">
      <c r="B68" s="7">
        <v>11.8</v>
      </c>
      <c r="C68" s="8">
        <v>11.13</v>
      </c>
      <c r="D68" s="8">
        <v>11.27</v>
      </c>
      <c r="E68" s="8">
        <v>14.37</v>
      </c>
      <c r="F68" s="8">
        <v>13.9</v>
      </c>
      <c r="G68" s="9">
        <v>11.07</v>
      </c>
    </row>
    <row r="69" spans="2:7">
      <c r="B69" s="7">
        <v>10.6</v>
      </c>
      <c r="C69" s="8">
        <v>11.67</v>
      </c>
      <c r="D69" s="8">
        <v>10.3</v>
      </c>
      <c r="E69" s="8">
        <v>14.4</v>
      </c>
      <c r="F69" s="8">
        <v>12.4</v>
      </c>
      <c r="G69" s="9">
        <v>9.77</v>
      </c>
    </row>
    <row r="70" spans="2:7">
      <c r="B70" s="7">
        <v>10.93</v>
      </c>
      <c r="C70" s="8">
        <v>12.57</v>
      </c>
      <c r="D70" s="8">
        <v>10.029999999999999</v>
      </c>
      <c r="E70" s="8">
        <v>15.37</v>
      </c>
      <c r="F70" s="8">
        <v>11.8</v>
      </c>
      <c r="G70" s="9">
        <v>10.6</v>
      </c>
    </row>
    <row r="71" spans="2:7">
      <c r="B71" s="7">
        <v>12.2</v>
      </c>
      <c r="C71" s="8">
        <v>10.63</v>
      </c>
      <c r="D71" s="8">
        <v>11.1</v>
      </c>
      <c r="E71" s="8">
        <v>15.17</v>
      </c>
      <c r="F71" s="8">
        <v>12.4</v>
      </c>
      <c r="G71" s="9">
        <v>10.1</v>
      </c>
    </row>
    <row r="72" spans="2:7">
      <c r="B72" s="7">
        <v>11.37</v>
      </c>
      <c r="C72" s="8">
        <v>10.87</v>
      </c>
      <c r="D72" s="8">
        <v>10.8</v>
      </c>
      <c r="E72" s="8">
        <v>16.43</v>
      </c>
      <c r="F72" s="8">
        <v>11.1</v>
      </c>
      <c r="G72" s="9">
        <v>10.07</v>
      </c>
    </row>
    <row r="73" spans="2:7">
      <c r="B73" s="7">
        <v>11.47</v>
      </c>
      <c r="C73" s="8">
        <v>11.5</v>
      </c>
      <c r="D73" s="8">
        <v>10.8</v>
      </c>
      <c r="E73" s="8">
        <v>17.87</v>
      </c>
      <c r="F73" s="8">
        <v>12.53</v>
      </c>
      <c r="G73" s="9">
        <v>11.2</v>
      </c>
    </row>
    <row r="74" spans="2:7">
      <c r="B74" s="7">
        <v>11.5</v>
      </c>
      <c r="C74" s="8">
        <v>12.37</v>
      </c>
      <c r="D74" s="8">
        <v>11.2</v>
      </c>
      <c r="E74" s="8">
        <v>15.67</v>
      </c>
      <c r="F74" s="8">
        <v>12.03</v>
      </c>
      <c r="G74" s="9">
        <v>9.77</v>
      </c>
    </row>
    <row r="75" spans="2:7">
      <c r="B75" s="7">
        <v>11.1</v>
      </c>
      <c r="C75" s="8">
        <v>11.27</v>
      </c>
      <c r="D75" s="8">
        <v>9.8000000000000007</v>
      </c>
      <c r="E75" s="8">
        <v>15.13</v>
      </c>
      <c r="F75" s="8">
        <v>12.13</v>
      </c>
      <c r="G75" s="9">
        <v>10.67</v>
      </c>
    </row>
    <row r="76" spans="2:7">
      <c r="B76" s="7">
        <v>12.57</v>
      </c>
      <c r="C76" s="8">
        <v>12.43</v>
      </c>
      <c r="D76" s="8">
        <v>10.63</v>
      </c>
      <c r="E76" s="8">
        <v>15.77</v>
      </c>
      <c r="F76" s="8">
        <v>12.4</v>
      </c>
      <c r="G76" s="9">
        <v>12.23</v>
      </c>
    </row>
    <row r="77" spans="2:7">
      <c r="B77" s="7">
        <v>11.5</v>
      </c>
      <c r="C77" s="8">
        <v>11.9</v>
      </c>
      <c r="D77" s="8">
        <v>10.5</v>
      </c>
      <c r="E77" s="8">
        <v>15.17</v>
      </c>
      <c r="F77" s="8">
        <v>11.2</v>
      </c>
      <c r="G77" s="9">
        <v>10.029999999999999</v>
      </c>
    </row>
    <row r="78" spans="2:7">
      <c r="B78" s="7">
        <v>10.8</v>
      </c>
      <c r="C78" s="8">
        <v>12.6</v>
      </c>
      <c r="D78" s="8">
        <v>11.43</v>
      </c>
      <c r="E78" s="8">
        <v>16.37</v>
      </c>
      <c r="F78" s="8">
        <v>12.27</v>
      </c>
      <c r="G78" s="9">
        <v>9.6300000000000008</v>
      </c>
    </row>
    <row r="79" spans="2:7">
      <c r="B79" s="7">
        <v>11.23</v>
      </c>
      <c r="C79" s="8">
        <v>11.63</v>
      </c>
      <c r="D79" s="8">
        <v>10.83</v>
      </c>
      <c r="E79" s="8">
        <v>17.53</v>
      </c>
      <c r="F79" s="8">
        <v>11.9</v>
      </c>
      <c r="G79" s="9">
        <v>10.1</v>
      </c>
    </row>
    <row r="80" spans="2:7">
      <c r="B80" s="7">
        <v>11.63</v>
      </c>
      <c r="C80" s="8">
        <v>11.1</v>
      </c>
      <c r="D80" s="8">
        <v>12.13</v>
      </c>
      <c r="E80" s="8">
        <v>15.93</v>
      </c>
      <c r="F80" s="8">
        <v>12.23</v>
      </c>
      <c r="G80" s="9">
        <v>11.3</v>
      </c>
    </row>
    <row r="81" spans="2:7">
      <c r="B81" s="7">
        <v>10.9</v>
      </c>
      <c r="C81" s="8">
        <v>11.37</v>
      </c>
      <c r="D81" s="8">
        <v>11.03</v>
      </c>
      <c r="E81" s="8">
        <v>16.93</v>
      </c>
      <c r="F81" s="8">
        <v>12.73</v>
      </c>
      <c r="G81" s="9">
        <v>9.57</v>
      </c>
    </row>
    <row r="82" spans="2:7">
      <c r="B82" s="7">
        <v>10.53</v>
      </c>
      <c r="C82" s="8">
        <v>11.07</v>
      </c>
      <c r="D82" s="8">
        <v>10.47</v>
      </c>
      <c r="E82" s="8">
        <v>17.77</v>
      </c>
      <c r="F82" s="8">
        <v>11.37</v>
      </c>
      <c r="G82" s="9">
        <v>10.63</v>
      </c>
    </row>
    <row r="83" spans="2:7">
      <c r="B83" s="7">
        <v>11.73</v>
      </c>
      <c r="C83" s="8">
        <v>12.2</v>
      </c>
      <c r="D83" s="8">
        <v>11.17</v>
      </c>
      <c r="E83" s="8">
        <v>16.3</v>
      </c>
      <c r="F83" s="8">
        <v>11.6</v>
      </c>
      <c r="G83" s="9">
        <v>9.73</v>
      </c>
    </row>
    <row r="84" spans="2:7">
      <c r="B84" s="7">
        <v>12.37</v>
      </c>
      <c r="C84" s="8">
        <v>10.7</v>
      </c>
      <c r="D84" s="8">
        <v>10.63</v>
      </c>
      <c r="E84" s="8">
        <v>15.33</v>
      </c>
      <c r="F84" s="8">
        <v>11.17</v>
      </c>
      <c r="G84" s="9">
        <v>10</v>
      </c>
    </row>
    <row r="85" spans="2:7">
      <c r="B85" s="7">
        <v>11.43</v>
      </c>
      <c r="C85" s="8">
        <v>11.63</v>
      </c>
      <c r="D85" s="8">
        <v>10.97</v>
      </c>
      <c r="E85" s="8">
        <v>17.399999999999999</v>
      </c>
      <c r="F85" s="8">
        <v>15.23</v>
      </c>
      <c r="G85" s="9">
        <v>11.1</v>
      </c>
    </row>
    <row r="86" spans="2:7">
      <c r="B86" s="7">
        <v>10.4</v>
      </c>
      <c r="C86" s="8">
        <v>10.93</v>
      </c>
      <c r="D86" s="8">
        <v>10.97</v>
      </c>
      <c r="E86" s="8">
        <v>14.47</v>
      </c>
      <c r="F86" s="8">
        <v>10.83</v>
      </c>
      <c r="G86" s="9">
        <v>9.6300000000000008</v>
      </c>
    </row>
    <row r="87" spans="2:7">
      <c r="B87" s="7">
        <v>11.13</v>
      </c>
      <c r="C87" s="8">
        <v>11.07</v>
      </c>
      <c r="D87" s="8">
        <v>12.17</v>
      </c>
      <c r="E87" s="8">
        <v>15.3</v>
      </c>
      <c r="F87" s="8">
        <v>11.23</v>
      </c>
      <c r="G87" s="9">
        <v>10.27</v>
      </c>
    </row>
    <row r="88" spans="2:7">
      <c r="B88" s="7">
        <v>11.73</v>
      </c>
      <c r="C88" s="8">
        <v>10.67</v>
      </c>
      <c r="D88" s="8">
        <v>10.97</v>
      </c>
      <c r="E88" s="8">
        <v>16.899999999999999</v>
      </c>
      <c r="F88" s="8">
        <v>11.77</v>
      </c>
      <c r="G88" s="9">
        <v>10.37</v>
      </c>
    </row>
    <row r="89" spans="2:7">
      <c r="B89" s="7">
        <v>11.57</v>
      </c>
      <c r="C89" s="8">
        <v>11.57</v>
      </c>
      <c r="D89" s="8">
        <v>11.13</v>
      </c>
      <c r="E89" s="8">
        <v>15.83</v>
      </c>
      <c r="F89" s="8">
        <v>12.27</v>
      </c>
      <c r="G89" s="9">
        <v>10.77</v>
      </c>
    </row>
    <row r="90" spans="2:7">
      <c r="B90" s="7">
        <v>12.23</v>
      </c>
      <c r="C90" s="8">
        <v>12.33</v>
      </c>
      <c r="D90" s="8">
        <v>11.03</v>
      </c>
      <c r="E90" s="8">
        <v>16.37</v>
      </c>
      <c r="F90" s="8">
        <v>11.33</v>
      </c>
      <c r="G90" s="9">
        <v>10.199999999999999</v>
      </c>
    </row>
    <row r="91" spans="2:7">
      <c r="B91" s="7">
        <v>11.07</v>
      </c>
      <c r="C91" s="8">
        <v>11.4</v>
      </c>
      <c r="D91" s="8">
        <v>10.17</v>
      </c>
      <c r="E91" s="8">
        <v>16.329999999999998</v>
      </c>
      <c r="F91" s="8">
        <v>12.33</v>
      </c>
      <c r="G91" s="9">
        <v>10.67</v>
      </c>
    </row>
    <row r="92" spans="2:7">
      <c r="B92" s="7">
        <v>11.53</v>
      </c>
      <c r="C92" s="8">
        <v>11.8</v>
      </c>
      <c r="D92" s="8">
        <v>11.4</v>
      </c>
      <c r="E92" s="8">
        <v>16.87</v>
      </c>
      <c r="F92" s="8">
        <v>12.8</v>
      </c>
      <c r="G92" s="9">
        <v>9.77</v>
      </c>
    </row>
    <row r="93" spans="2:7">
      <c r="B93" s="7">
        <v>12.7</v>
      </c>
      <c r="C93" s="8">
        <v>11.93</v>
      </c>
      <c r="D93" s="8">
        <v>10.7</v>
      </c>
      <c r="E93" s="8">
        <v>16.03</v>
      </c>
      <c r="F93" s="8">
        <v>12.07</v>
      </c>
      <c r="G93" s="9">
        <v>10.17</v>
      </c>
    </row>
    <row r="94" spans="2:7">
      <c r="B94" s="7">
        <v>11.37</v>
      </c>
      <c r="C94" s="8">
        <v>11.63</v>
      </c>
      <c r="D94" s="8">
        <v>10.130000000000001</v>
      </c>
      <c r="E94" s="8">
        <v>14.83</v>
      </c>
      <c r="F94" s="8">
        <v>11.6</v>
      </c>
      <c r="G94" s="9">
        <v>10.23</v>
      </c>
    </row>
    <row r="95" spans="2:7">
      <c r="B95" s="7">
        <v>11.23</v>
      </c>
      <c r="C95" s="8">
        <v>11.57</v>
      </c>
      <c r="D95" s="8">
        <v>11.13</v>
      </c>
      <c r="E95" s="8">
        <v>15.97</v>
      </c>
      <c r="F95" s="8">
        <v>10.83</v>
      </c>
      <c r="G95" s="9">
        <v>10.57</v>
      </c>
    </row>
    <row r="96" spans="2:7">
      <c r="B96" s="7">
        <v>11.47</v>
      </c>
      <c r="C96" s="8">
        <v>12.37</v>
      </c>
      <c r="D96" s="8">
        <v>10.3</v>
      </c>
      <c r="E96" s="8">
        <v>15.3</v>
      </c>
      <c r="F96" s="8">
        <v>14.37</v>
      </c>
      <c r="G96" s="9">
        <v>9.57</v>
      </c>
    </row>
    <row r="97" spans="2:10">
      <c r="B97" s="7">
        <v>12.2</v>
      </c>
      <c r="C97" s="8">
        <v>11.23</v>
      </c>
      <c r="D97" s="8">
        <v>10.73</v>
      </c>
      <c r="E97" s="8">
        <v>15.6</v>
      </c>
      <c r="F97" s="8">
        <v>12</v>
      </c>
      <c r="G97" s="9">
        <v>9.93</v>
      </c>
    </row>
    <row r="98" spans="2:10">
      <c r="B98" s="7">
        <v>11.7</v>
      </c>
      <c r="C98" s="8">
        <v>11.1</v>
      </c>
      <c r="D98" s="8">
        <v>10.33</v>
      </c>
      <c r="E98" s="8">
        <v>17.03</v>
      </c>
      <c r="F98" s="8">
        <v>12.67</v>
      </c>
      <c r="G98" s="9">
        <v>9.9</v>
      </c>
    </row>
    <row r="99" spans="2:10">
      <c r="B99" s="7">
        <v>10.47</v>
      </c>
      <c r="C99" s="8">
        <v>11.2</v>
      </c>
      <c r="D99" s="8">
        <v>11.23</v>
      </c>
      <c r="E99" s="8">
        <v>15.87</v>
      </c>
      <c r="F99" s="8">
        <v>13.2</v>
      </c>
      <c r="G99" s="9">
        <v>10.27</v>
      </c>
    </row>
    <row r="100" spans="2:10">
      <c r="B100" s="7">
        <v>11.37</v>
      </c>
      <c r="C100" s="8">
        <v>11.8</v>
      </c>
      <c r="D100" s="8">
        <v>12</v>
      </c>
      <c r="E100" s="8">
        <v>16.03</v>
      </c>
      <c r="F100" s="8">
        <v>12.07</v>
      </c>
      <c r="G100" s="9">
        <v>10.5</v>
      </c>
    </row>
    <row r="101" spans="2:10">
      <c r="B101" s="7">
        <v>11.5</v>
      </c>
      <c r="C101" s="8">
        <v>12.53</v>
      </c>
      <c r="D101" s="8">
        <v>11.3</v>
      </c>
      <c r="E101" s="8">
        <v>16.47</v>
      </c>
      <c r="F101" s="8">
        <v>11.83</v>
      </c>
      <c r="G101" s="9">
        <v>9.9</v>
      </c>
    </row>
    <row r="102" spans="2:10">
      <c r="B102" s="10">
        <v>11.33</v>
      </c>
      <c r="C102" s="11">
        <v>11.2</v>
      </c>
      <c r="D102" s="11">
        <v>10.73</v>
      </c>
      <c r="E102" s="11">
        <v>16</v>
      </c>
      <c r="F102" s="11">
        <v>13.6</v>
      </c>
      <c r="G102" s="12">
        <v>9.77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>
      <c r="B107" s="71" t="s">
        <v>19</v>
      </c>
      <c r="C107" s="79">
        <v>11.5672</v>
      </c>
      <c r="D107" s="79">
        <v>0.59289999999999998</v>
      </c>
      <c r="E107" s="79">
        <v>11.5</v>
      </c>
      <c r="F107" s="79">
        <v>11.451000000000001</v>
      </c>
      <c r="G107" s="79">
        <v>11.683400000000001</v>
      </c>
      <c r="H107" s="81">
        <v>10.4</v>
      </c>
      <c r="I107" s="81">
        <v>13</v>
      </c>
      <c r="J107" s="72">
        <v>5.0999999999999996</v>
      </c>
    </row>
    <row r="108" spans="2:10">
      <c r="B108" s="71" t="s">
        <v>20</v>
      </c>
      <c r="C108" s="79">
        <v>11.662800000000001</v>
      </c>
      <c r="D108" s="79">
        <v>0.56069999999999998</v>
      </c>
      <c r="E108" s="79">
        <v>11.6</v>
      </c>
      <c r="F108" s="79">
        <v>11.552899999999999</v>
      </c>
      <c r="G108" s="79">
        <v>11.7727</v>
      </c>
      <c r="H108" s="81">
        <v>10.63</v>
      </c>
      <c r="I108" s="81">
        <v>13.33</v>
      </c>
      <c r="J108" s="72">
        <v>4.8</v>
      </c>
    </row>
    <row r="109" spans="2:10">
      <c r="B109" s="71" t="s">
        <v>3</v>
      </c>
      <c r="C109" s="79">
        <v>10.8223</v>
      </c>
      <c r="D109" s="79">
        <v>0.52070000000000005</v>
      </c>
      <c r="E109" s="79">
        <v>10.75</v>
      </c>
      <c r="F109" s="79">
        <v>10.7202</v>
      </c>
      <c r="G109" s="79">
        <v>10.9244</v>
      </c>
      <c r="H109" s="81">
        <v>9.8000000000000007</v>
      </c>
      <c r="I109" s="81">
        <v>12.7</v>
      </c>
      <c r="J109" s="72">
        <v>4.8</v>
      </c>
    </row>
    <row r="110" spans="2:10">
      <c r="B110" s="71" t="s">
        <v>21</v>
      </c>
      <c r="C110" s="79">
        <v>16.0655</v>
      </c>
      <c r="D110" s="79">
        <v>0.99280000000000002</v>
      </c>
      <c r="E110" s="79">
        <v>15.984999999999999</v>
      </c>
      <c r="F110" s="79">
        <v>15.870900000000001</v>
      </c>
      <c r="G110" s="79">
        <v>16.260100000000001</v>
      </c>
      <c r="H110" s="81">
        <v>14.13</v>
      </c>
      <c r="I110" s="81">
        <v>18.37</v>
      </c>
      <c r="J110" s="72">
        <v>6.2</v>
      </c>
    </row>
    <row r="111" spans="2:10">
      <c r="B111" s="71" t="s">
        <v>22</v>
      </c>
      <c r="C111" s="79">
        <v>11.965199999999999</v>
      </c>
      <c r="D111" s="79">
        <v>0.7913</v>
      </c>
      <c r="E111" s="79">
        <v>11.83</v>
      </c>
      <c r="F111" s="79">
        <v>11.8101</v>
      </c>
      <c r="G111" s="79">
        <v>12.1203</v>
      </c>
      <c r="H111" s="81">
        <v>10.53</v>
      </c>
      <c r="I111" s="81">
        <v>15.23</v>
      </c>
      <c r="J111" s="72">
        <v>6.6</v>
      </c>
    </row>
    <row r="112" spans="2:10">
      <c r="B112" s="73" t="s">
        <v>6</v>
      </c>
      <c r="C112" s="80">
        <v>10.229699999999999</v>
      </c>
      <c r="D112" s="80">
        <v>0.55940000000000001</v>
      </c>
      <c r="E112" s="80">
        <v>10.199999999999999</v>
      </c>
      <c r="F112" s="80">
        <v>10.120100000000001</v>
      </c>
      <c r="G112" s="80">
        <v>10.3393</v>
      </c>
      <c r="H112" s="82">
        <v>9.27</v>
      </c>
      <c r="I112" s="82">
        <v>12.23</v>
      </c>
      <c r="J112" s="74">
        <v>5.5</v>
      </c>
    </row>
    <row r="113" spans="2:10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>
      <c r="B117" s="77">
        <v>13.032999999999999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>
      <c r="B122" s="87">
        <v>563.10990000000004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>
      <c r="B127" s="93" t="s">
        <v>19</v>
      </c>
      <c r="C127" s="95" t="s">
        <v>20</v>
      </c>
      <c r="D127" s="91">
        <v>-9.5600000000000004E-2</v>
      </c>
      <c r="E127" s="91">
        <v>8.1600000000000006E-2</v>
      </c>
      <c r="F127" s="91">
        <v>-0.25650000000000001</v>
      </c>
      <c r="G127" s="91">
        <v>6.5299999999999997E-2</v>
      </c>
      <c r="H127" s="92">
        <v>0.24279999999999999</v>
      </c>
      <c r="I127" s="89" t="s">
        <v>40</v>
      </c>
      <c r="J127" s="66"/>
    </row>
    <row r="128" spans="2:10">
      <c r="B128" s="71" t="s">
        <v>19</v>
      </c>
      <c r="C128" s="96" t="s">
        <v>3</v>
      </c>
      <c r="D128" s="79">
        <v>0.74490000000000001</v>
      </c>
      <c r="E128" s="79">
        <v>7.8899999999999998E-2</v>
      </c>
      <c r="F128" s="79">
        <v>0.58930000000000005</v>
      </c>
      <c r="G128" s="79">
        <v>0.90049999999999997</v>
      </c>
      <c r="H128" s="88" t="s">
        <v>27</v>
      </c>
      <c r="I128" s="90" t="s">
        <v>41</v>
      </c>
      <c r="J128" s="66"/>
    </row>
    <row r="129" spans="2:10">
      <c r="B129" s="71" t="s">
        <v>19</v>
      </c>
      <c r="C129" s="96" t="s">
        <v>21</v>
      </c>
      <c r="D129" s="79">
        <v>-4.4983000000000004</v>
      </c>
      <c r="E129" s="79">
        <v>0.11559999999999999</v>
      </c>
      <c r="F129" s="79">
        <v>-4.7266000000000004</v>
      </c>
      <c r="G129" s="79">
        <v>-4.2699999999999996</v>
      </c>
      <c r="H129" s="88" t="s">
        <v>27</v>
      </c>
      <c r="I129" s="90" t="s">
        <v>41</v>
      </c>
      <c r="J129" s="66"/>
    </row>
    <row r="130" spans="2:10">
      <c r="B130" s="71" t="s">
        <v>19</v>
      </c>
      <c r="C130" s="96" t="s">
        <v>22</v>
      </c>
      <c r="D130" s="79">
        <v>-0.39800000000000002</v>
      </c>
      <c r="E130" s="79">
        <v>9.8900000000000002E-2</v>
      </c>
      <c r="F130" s="79">
        <v>-0.59309999999999996</v>
      </c>
      <c r="G130" s="79">
        <v>-0.2029</v>
      </c>
      <c r="H130" s="88" t="s">
        <v>27</v>
      </c>
      <c r="I130" s="90" t="s">
        <v>41</v>
      </c>
      <c r="J130" s="66"/>
    </row>
    <row r="131" spans="2:10">
      <c r="B131" s="71" t="s">
        <v>19</v>
      </c>
      <c r="C131" s="96" t="s">
        <v>6</v>
      </c>
      <c r="D131" s="79">
        <v>1.3374999999999999</v>
      </c>
      <c r="E131" s="79">
        <v>8.1500000000000003E-2</v>
      </c>
      <c r="F131" s="79">
        <v>1.1768000000000001</v>
      </c>
      <c r="G131" s="79">
        <v>1.4982</v>
      </c>
      <c r="H131" s="88" t="s">
        <v>27</v>
      </c>
      <c r="I131" s="90" t="s">
        <v>41</v>
      </c>
      <c r="J131" s="66"/>
    </row>
    <row r="132" spans="2:10">
      <c r="B132" s="71" t="s">
        <v>20</v>
      </c>
      <c r="C132" s="96" t="s">
        <v>3</v>
      </c>
      <c r="D132" s="79">
        <v>0.84050000000000002</v>
      </c>
      <c r="E132" s="79">
        <v>7.6499999999999999E-2</v>
      </c>
      <c r="F132" s="79">
        <v>0.68959999999999999</v>
      </c>
      <c r="G132" s="79">
        <v>0.99139999999999995</v>
      </c>
      <c r="H132" s="88" t="s">
        <v>27</v>
      </c>
      <c r="I132" s="90" t="s">
        <v>41</v>
      </c>
      <c r="J132" s="66"/>
    </row>
    <row r="133" spans="2:10">
      <c r="B133" s="71" t="s">
        <v>20</v>
      </c>
      <c r="C133" s="96" t="s">
        <v>21</v>
      </c>
      <c r="D133" s="79">
        <v>-4.4027000000000003</v>
      </c>
      <c r="E133" s="79">
        <v>0.114</v>
      </c>
      <c r="F133" s="79">
        <v>-4.6279000000000003</v>
      </c>
      <c r="G133" s="79">
        <v>-4.1775000000000002</v>
      </c>
      <c r="H133" s="88" t="s">
        <v>27</v>
      </c>
      <c r="I133" s="90" t="s">
        <v>41</v>
      </c>
      <c r="J133" s="66"/>
    </row>
    <row r="134" spans="2:10">
      <c r="B134" s="71" t="s">
        <v>20</v>
      </c>
      <c r="C134" s="96" t="s">
        <v>22</v>
      </c>
      <c r="D134" s="79">
        <v>-0.3024</v>
      </c>
      <c r="E134" s="79">
        <v>9.7000000000000003E-2</v>
      </c>
      <c r="F134" s="79">
        <v>-0.49380000000000002</v>
      </c>
      <c r="G134" s="79">
        <v>-0.111</v>
      </c>
      <c r="H134" s="88">
        <v>2E-3</v>
      </c>
      <c r="I134" s="90" t="s">
        <v>41</v>
      </c>
      <c r="J134" s="66"/>
    </row>
    <row r="135" spans="2:10">
      <c r="B135" s="71" t="s">
        <v>20</v>
      </c>
      <c r="C135" s="96" t="s">
        <v>6</v>
      </c>
      <c r="D135" s="79">
        <v>1.4331</v>
      </c>
      <c r="E135" s="79">
        <v>7.9200000000000007E-2</v>
      </c>
      <c r="F135" s="79">
        <v>1.2768999999999999</v>
      </c>
      <c r="G135" s="79">
        <v>1.5892999999999999</v>
      </c>
      <c r="H135" s="88" t="s">
        <v>27</v>
      </c>
      <c r="I135" s="90" t="s">
        <v>41</v>
      </c>
      <c r="J135" s="66"/>
    </row>
    <row r="136" spans="2:10">
      <c r="B136" s="71" t="s">
        <v>3</v>
      </c>
      <c r="C136" s="96" t="s">
        <v>21</v>
      </c>
      <c r="D136" s="79">
        <v>-5.2431999999999999</v>
      </c>
      <c r="E136" s="79">
        <v>0.11210000000000001</v>
      </c>
      <c r="F136" s="79">
        <v>-5.4646999999999997</v>
      </c>
      <c r="G136" s="79">
        <v>-5.0217000000000001</v>
      </c>
      <c r="H136" s="88" t="s">
        <v>27</v>
      </c>
      <c r="I136" s="90" t="s">
        <v>41</v>
      </c>
      <c r="J136" s="66"/>
    </row>
    <row r="137" spans="2:10">
      <c r="B137" s="71" t="s">
        <v>3</v>
      </c>
      <c r="C137" s="96" t="s">
        <v>22</v>
      </c>
      <c r="D137" s="79">
        <v>-1.1429</v>
      </c>
      <c r="E137" s="79">
        <v>9.4700000000000006E-2</v>
      </c>
      <c r="F137" s="79">
        <v>-1.3299000000000001</v>
      </c>
      <c r="G137" s="79">
        <v>-0.95589999999999997</v>
      </c>
      <c r="H137" s="88" t="s">
        <v>27</v>
      </c>
      <c r="I137" s="90" t="s">
        <v>41</v>
      </c>
      <c r="J137" s="66"/>
    </row>
    <row r="138" spans="2:10">
      <c r="B138" s="71" t="s">
        <v>3</v>
      </c>
      <c r="C138" s="96" t="s">
        <v>6</v>
      </c>
      <c r="D138" s="79">
        <v>0.59260000000000002</v>
      </c>
      <c r="E138" s="79">
        <v>7.6399999999999996E-2</v>
      </c>
      <c r="F138" s="79">
        <v>0.44190000000000002</v>
      </c>
      <c r="G138" s="79">
        <v>0.74329999999999996</v>
      </c>
      <c r="H138" s="88" t="s">
        <v>27</v>
      </c>
      <c r="I138" s="90" t="s">
        <v>41</v>
      </c>
      <c r="J138" s="66"/>
    </row>
    <row r="139" spans="2:10">
      <c r="B139" s="71" t="s">
        <v>21</v>
      </c>
      <c r="C139" s="96" t="s">
        <v>22</v>
      </c>
      <c r="D139" s="79">
        <v>4.1002999999999998</v>
      </c>
      <c r="E139" s="79">
        <v>0.127</v>
      </c>
      <c r="F139" s="79">
        <v>3.8498999999999999</v>
      </c>
      <c r="G139" s="79">
        <v>4.3506999999999998</v>
      </c>
      <c r="H139" s="88" t="s">
        <v>27</v>
      </c>
      <c r="I139" s="90" t="s">
        <v>41</v>
      </c>
      <c r="J139" s="66"/>
    </row>
    <row r="140" spans="2:10">
      <c r="B140" s="71" t="s">
        <v>21</v>
      </c>
      <c r="C140" s="96" t="s">
        <v>6</v>
      </c>
      <c r="D140" s="79">
        <v>5.8357999999999999</v>
      </c>
      <c r="E140" s="79">
        <v>0.114</v>
      </c>
      <c r="F140" s="79">
        <v>5.6106999999999996</v>
      </c>
      <c r="G140" s="79">
        <v>6.0609000000000002</v>
      </c>
      <c r="H140" s="88" t="s">
        <v>27</v>
      </c>
      <c r="I140" s="90" t="s">
        <v>41</v>
      </c>
      <c r="J140" s="66"/>
    </row>
    <row r="141" spans="2:10">
      <c r="B141" s="73" t="s">
        <v>22</v>
      </c>
      <c r="C141" s="94" t="s">
        <v>6</v>
      </c>
      <c r="D141" s="80">
        <v>1.7355</v>
      </c>
      <c r="E141" s="80">
        <v>9.69E-2</v>
      </c>
      <c r="F141" s="80">
        <v>1.5443</v>
      </c>
      <c r="G141" s="80">
        <v>1.9267000000000001</v>
      </c>
      <c r="H141" s="84" t="s">
        <v>27</v>
      </c>
      <c r="I141" s="85" t="s">
        <v>41</v>
      </c>
      <c r="J141" s="66"/>
    </row>
    <row r="142" spans="2:10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4FACD-FE37-469B-B1E1-D4DA1B2D6E8B}">
  <dimension ref="B1:J143"/>
  <sheetViews>
    <sheetView topLeftCell="A134" workbookViewId="0">
      <selection activeCell="A144" sqref="A144:XFD161"/>
    </sheetView>
  </sheetViews>
  <sheetFormatPr defaultRowHeight="15"/>
  <cols>
    <col min="2" max="2" width="36.5703125" bestFit="1" customWidth="1"/>
    <col min="3" max="3" width="11.85546875" bestFit="1" customWidth="1"/>
    <col min="4" max="4" width="15.85546875" bestFit="1" customWidth="1"/>
    <col min="5" max="5" width="11.85546875" bestFit="1" customWidth="1"/>
    <col min="6" max="6" width="13.85546875" bestFit="1" customWidth="1"/>
    <col min="7" max="7" width="15.140625" bestFit="1" customWidth="1"/>
    <col min="8" max="10" width="11.85546875" bestFit="1" customWidth="1"/>
  </cols>
  <sheetData>
    <row r="1" spans="2:7">
      <c r="B1" s="59" t="s">
        <v>47</v>
      </c>
      <c r="C1" s="54"/>
      <c r="D1" s="54"/>
      <c r="E1" s="54"/>
      <c r="F1" s="54"/>
      <c r="G1" s="55"/>
    </row>
    <row r="2" spans="2:7">
      <c r="B2" s="20" t="s">
        <v>1</v>
      </c>
      <c r="C2" s="20" t="s">
        <v>2</v>
      </c>
      <c r="D2" s="20" t="s">
        <v>3</v>
      </c>
      <c r="E2" s="20" t="s">
        <v>4</v>
      </c>
      <c r="F2" s="20" t="s">
        <v>5</v>
      </c>
      <c r="G2" s="20" t="s">
        <v>6</v>
      </c>
    </row>
    <row r="3" spans="2:7">
      <c r="B3" s="21">
        <v>0.75</v>
      </c>
      <c r="C3" s="22">
        <v>0.75</v>
      </c>
      <c r="D3" s="22">
        <v>0.82</v>
      </c>
      <c r="E3" s="22">
        <v>0.61</v>
      </c>
      <c r="F3" s="22">
        <v>0.79</v>
      </c>
      <c r="G3" s="23">
        <v>0.88</v>
      </c>
    </row>
    <row r="4" spans="2:7">
      <c r="B4" s="24">
        <v>0.74</v>
      </c>
      <c r="C4" s="25">
        <v>0.78</v>
      </c>
      <c r="D4" s="25">
        <v>0.9</v>
      </c>
      <c r="E4" s="25">
        <v>0.57999999999999996</v>
      </c>
      <c r="F4" s="25">
        <v>0.72</v>
      </c>
      <c r="G4" s="26">
        <v>0.84</v>
      </c>
    </row>
    <row r="5" spans="2:7">
      <c r="B5" s="24">
        <v>0.83</v>
      </c>
      <c r="C5" s="25">
        <v>0.71</v>
      </c>
      <c r="D5" s="25">
        <v>0.84</v>
      </c>
      <c r="E5" s="25">
        <v>0.62</v>
      </c>
      <c r="F5" s="25">
        <v>0.74</v>
      </c>
      <c r="G5" s="26">
        <v>0.96</v>
      </c>
    </row>
    <row r="6" spans="2:7">
      <c r="B6" s="24">
        <v>0.79</v>
      </c>
      <c r="C6" s="25">
        <v>0.78</v>
      </c>
      <c r="D6" s="25">
        <v>0.78</v>
      </c>
      <c r="E6" s="25">
        <v>0.53</v>
      </c>
      <c r="F6" s="25">
        <v>0.8</v>
      </c>
      <c r="G6" s="26">
        <v>0.96</v>
      </c>
    </row>
    <row r="7" spans="2:7">
      <c r="B7" s="24">
        <v>0.81</v>
      </c>
      <c r="C7" s="25">
        <v>0.81</v>
      </c>
      <c r="D7" s="25">
        <v>0.88</v>
      </c>
      <c r="E7" s="25">
        <v>0.51</v>
      </c>
      <c r="F7" s="25">
        <v>0.79</v>
      </c>
      <c r="G7" s="26">
        <v>0.96</v>
      </c>
    </row>
    <row r="8" spans="2:7">
      <c r="B8" s="24">
        <v>0.82</v>
      </c>
      <c r="C8" s="25">
        <v>0.78</v>
      </c>
      <c r="D8" s="25">
        <v>0.82</v>
      </c>
      <c r="E8" s="25">
        <v>0.49</v>
      </c>
      <c r="F8" s="25">
        <v>0.68</v>
      </c>
      <c r="G8" s="26">
        <v>0.97</v>
      </c>
    </row>
    <row r="9" spans="2:7">
      <c r="B9" s="24">
        <v>0.76</v>
      </c>
      <c r="C9" s="25">
        <v>0.81</v>
      </c>
      <c r="D9" s="25">
        <v>0.84</v>
      </c>
      <c r="E9" s="25">
        <v>0.61</v>
      </c>
      <c r="F9" s="25">
        <v>0.78</v>
      </c>
      <c r="G9" s="26">
        <v>0.86</v>
      </c>
    </row>
    <row r="10" spans="2:7">
      <c r="B10" s="24">
        <v>0.73</v>
      </c>
      <c r="C10" s="25">
        <v>0.76</v>
      </c>
      <c r="D10" s="25">
        <v>0.87</v>
      </c>
      <c r="E10" s="25">
        <v>0.54</v>
      </c>
      <c r="F10" s="25">
        <v>0.67</v>
      </c>
      <c r="G10" s="26">
        <v>0.89</v>
      </c>
    </row>
    <row r="11" spans="2:7">
      <c r="B11" s="24">
        <v>0.8</v>
      </c>
      <c r="C11" s="25">
        <v>0.74</v>
      </c>
      <c r="D11" s="25">
        <v>0.84</v>
      </c>
      <c r="E11" s="25">
        <v>0.61</v>
      </c>
      <c r="F11" s="25">
        <v>0.77</v>
      </c>
      <c r="G11" s="26">
        <v>0.86</v>
      </c>
    </row>
    <row r="12" spans="2:7">
      <c r="B12" s="24">
        <v>0.75</v>
      </c>
      <c r="C12" s="25">
        <v>0.74</v>
      </c>
      <c r="D12" s="25">
        <v>0.89</v>
      </c>
      <c r="E12" s="25">
        <v>0.52</v>
      </c>
      <c r="F12" s="25">
        <v>0.74</v>
      </c>
      <c r="G12" s="26">
        <v>0.83</v>
      </c>
    </row>
    <row r="13" spans="2:7">
      <c r="B13" s="24">
        <v>0.72</v>
      </c>
      <c r="C13" s="25">
        <v>0.73</v>
      </c>
      <c r="D13" s="25">
        <v>0.9</v>
      </c>
      <c r="E13" s="25">
        <v>0.61</v>
      </c>
      <c r="F13" s="25">
        <v>0.74</v>
      </c>
      <c r="G13" s="26">
        <v>0.92</v>
      </c>
    </row>
    <row r="14" spans="2:7">
      <c r="B14" s="24">
        <v>0.8</v>
      </c>
      <c r="C14" s="25">
        <v>0.73</v>
      </c>
      <c r="D14" s="25">
        <v>0.84</v>
      </c>
      <c r="E14" s="25">
        <v>0.6</v>
      </c>
      <c r="F14" s="25">
        <v>0.78</v>
      </c>
      <c r="G14" s="26">
        <v>0.95</v>
      </c>
    </row>
    <row r="15" spans="2:7">
      <c r="B15" s="24">
        <v>0.78</v>
      </c>
      <c r="C15" s="25">
        <v>0.68</v>
      </c>
      <c r="D15" s="25">
        <v>0.86</v>
      </c>
      <c r="E15" s="25">
        <v>0.61</v>
      </c>
      <c r="F15" s="25">
        <v>0.79</v>
      </c>
      <c r="G15" s="26">
        <v>0.84</v>
      </c>
    </row>
    <row r="16" spans="2:7">
      <c r="B16" s="24">
        <v>0.82</v>
      </c>
      <c r="C16" s="25">
        <v>0.77</v>
      </c>
      <c r="D16" s="25">
        <v>0.87</v>
      </c>
      <c r="E16" s="25">
        <v>0.52</v>
      </c>
      <c r="F16" s="25">
        <v>0.75</v>
      </c>
      <c r="G16" s="26">
        <v>0.85</v>
      </c>
    </row>
    <row r="17" spans="2:7">
      <c r="B17" s="24">
        <v>0.75</v>
      </c>
      <c r="C17" s="25">
        <v>0.78</v>
      </c>
      <c r="D17" s="25">
        <v>0.87</v>
      </c>
      <c r="E17" s="25">
        <v>0.56999999999999995</v>
      </c>
      <c r="F17" s="25">
        <v>0.75</v>
      </c>
      <c r="G17" s="26">
        <v>0.89</v>
      </c>
    </row>
    <row r="18" spans="2:7">
      <c r="B18" s="24">
        <v>0.77</v>
      </c>
      <c r="C18" s="25">
        <v>0.78</v>
      </c>
      <c r="D18" s="25">
        <v>0.86</v>
      </c>
      <c r="E18" s="25">
        <v>0.59</v>
      </c>
      <c r="F18" s="25">
        <v>0.79</v>
      </c>
      <c r="G18" s="26">
        <v>0.85</v>
      </c>
    </row>
    <row r="19" spans="2:7">
      <c r="B19" s="24">
        <v>0.71</v>
      </c>
      <c r="C19" s="25">
        <v>0.75</v>
      </c>
      <c r="D19" s="25">
        <v>0.71</v>
      </c>
      <c r="E19" s="25">
        <v>0.53</v>
      </c>
      <c r="F19" s="25">
        <v>0.8</v>
      </c>
      <c r="G19" s="26">
        <v>0.82</v>
      </c>
    </row>
    <row r="20" spans="2:7">
      <c r="B20" s="24">
        <v>0.79</v>
      </c>
      <c r="C20" s="25">
        <v>0.74</v>
      </c>
      <c r="D20" s="25">
        <v>0.87</v>
      </c>
      <c r="E20" s="25">
        <v>0.54</v>
      </c>
      <c r="F20" s="25">
        <v>0.81</v>
      </c>
      <c r="G20" s="26">
        <v>0.9</v>
      </c>
    </row>
    <row r="21" spans="2:7">
      <c r="B21" s="24">
        <v>0.71</v>
      </c>
      <c r="C21" s="25">
        <v>0.8</v>
      </c>
      <c r="D21" s="25">
        <v>0.84</v>
      </c>
      <c r="E21" s="25">
        <v>0.56999999999999995</v>
      </c>
      <c r="F21" s="25">
        <v>0.79</v>
      </c>
      <c r="G21" s="26">
        <v>0.86</v>
      </c>
    </row>
    <row r="22" spans="2:7">
      <c r="B22" s="24">
        <v>0.8</v>
      </c>
      <c r="C22" s="25">
        <v>0.82</v>
      </c>
      <c r="D22" s="25">
        <v>0.83</v>
      </c>
      <c r="E22" s="25">
        <v>0.59</v>
      </c>
      <c r="F22" s="25">
        <v>0.76</v>
      </c>
      <c r="G22" s="26">
        <v>0.93</v>
      </c>
    </row>
    <row r="23" spans="2:7">
      <c r="B23" s="24">
        <v>0.78</v>
      </c>
      <c r="C23" s="25">
        <v>0.79</v>
      </c>
      <c r="D23" s="25">
        <v>0.88</v>
      </c>
      <c r="E23" s="25">
        <v>0.55000000000000004</v>
      </c>
      <c r="F23" s="25">
        <v>0.75</v>
      </c>
      <c r="G23" s="26">
        <v>0.94</v>
      </c>
    </row>
    <row r="24" spans="2:7">
      <c r="B24" s="24">
        <v>0.76</v>
      </c>
      <c r="C24" s="25">
        <v>0.78</v>
      </c>
      <c r="D24" s="25">
        <v>0.85</v>
      </c>
      <c r="E24" s="25">
        <v>0.57999999999999996</v>
      </c>
      <c r="F24" s="25">
        <v>0.79</v>
      </c>
      <c r="G24" s="26">
        <v>0.81</v>
      </c>
    </row>
    <row r="25" spans="2:7">
      <c r="B25" s="24">
        <v>0.8</v>
      </c>
      <c r="C25" s="25">
        <v>0.78</v>
      </c>
      <c r="D25" s="25">
        <v>0.81</v>
      </c>
      <c r="E25" s="25">
        <v>0.54</v>
      </c>
      <c r="F25" s="25">
        <v>0.76</v>
      </c>
      <c r="G25" s="26">
        <v>0.91</v>
      </c>
    </row>
    <row r="26" spans="2:7">
      <c r="B26" s="24">
        <v>0.84</v>
      </c>
      <c r="C26" s="25">
        <v>0.82</v>
      </c>
      <c r="D26" s="25">
        <v>0.84</v>
      </c>
      <c r="E26" s="25">
        <v>0.56999999999999995</v>
      </c>
      <c r="F26" s="25">
        <v>0.82</v>
      </c>
      <c r="G26" s="26">
        <v>0.92</v>
      </c>
    </row>
    <row r="27" spans="2:7">
      <c r="B27" s="24">
        <v>0.76</v>
      </c>
      <c r="C27" s="25">
        <v>0.77</v>
      </c>
      <c r="D27" s="25">
        <v>0.75</v>
      </c>
      <c r="E27" s="25">
        <v>0.57999999999999996</v>
      </c>
      <c r="F27" s="25">
        <v>0.77</v>
      </c>
      <c r="G27" s="26">
        <v>0.84</v>
      </c>
    </row>
    <row r="28" spans="2:7">
      <c r="B28" s="24">
        <v>0.73</v>
      </c>
      <c r="C28" s="25">
        <v>0.8</v>
      </c>
      <c r="D28" s="25">
        <v>0.84</v>
      </c>
      <c r="E28" s="25">
        <v>0.54</v>
      </c>
      <c r="F28" s="25">
        <v>0.86</v>
      </c>
      <c r="G28" s="26">
        <v>0.94</v>
      </c>
    </row>
    <row r="29" spans="2:7">
      <c r="B29" s="24">
        <v>0.71</v>
      </c>
      <c r="C29" s="25">
        <v>0.73</v>
      </c>
      <c r="D29" s="25">
        <v>0.83</v>
      </c>
      <c r="E29" s="25">
        <v>0.6</v>
      </c>
      <c r="F29" s="25">
        <v>0.74</v>
      </c>
      <c r="G29" s="26">
        <v>0.96</v>
      </c>
    </row>
    <row r="30" spans="2:7">
      <c r="B30" s="24">
        <v>0.81</v>
      </c>
      <c r="C30" s="25">
        <v>0.78</v>
      </c>
      <c r="D30" s="25">
        <v>0.83</v>
      </c>
      <c r="E30" s="25">
        <v>0.52</v>
      </c>
      <c r="F30" s="25">
        <v>0.73</v>
      </c>
      <c r="G30" s="26">
        <v>0.85</v>
      </c>
    </row>
    <row r="31" spans="2:7">
      <c r="B31" s="24">
        <v>0.76</v>
      </c>
      <c r="C31" s="25">
        <v>0.82</v>
      </c>
      <c r="D31" s="25">
        <v>0.84</v>
      </c>
      <c r="E31" s="25">
        <v>0.51</v>
      </c>
      <c r="F31" s="25">
        <v>0.8</v>
      </c>
      <c r="G31" s="26">
        <v>0.89</v>
      </c>
    </row>
    <row r="32" spans="2:7">
      <c r="B32" s="24">
        <v>0.86</v>
      </c>
      <c r="C32" s="25">
        <v>0.75</v>
      </c>
      <c r="D32" s="25">
        <v>0.86</v>
      </c>
      <c r="E32" s="25">
        <v>0.61</v>
      </c>
      <c r="F32" s="25">
        <v>0.78</v>
      </c>
      <c r="G32" s="26">
        <v>0.88</v>
      </c>
    </row>
    <row r="33" spans="2:7">
      <c r="B33" s="24">
        <v>0.7</v>
      </c>
      <c r="C33" s="25">
        <v>0.74</v>
      </c>
      <c r="D33" s="25">
        <v>0.84</v>
      </c>
      <c r="E33" s="25">
        <v>0.52</v>
      </c>
      <c r="F33" s="25">
        <v>0.71</v>
      </c>
      <c r="G33" s="26">
        <v>0.87</v>
      </c>
    </row>
    <row r="34" spans="2:7">
      <c r="B34" s="24">
        <v>0.76</v>
      </c>
      <c r="C34" s="25">
        <v>0.78</v>
      </c>
      <c r="D34" s="25">
        <v>0.86</v>
      </c>
      <c r="E34" s="25">
        <v>0.63</v>
      </c>
      <c r="F34" s="25">
        <v>0.82</v>
      </c>
      <c r="G34" s="26">
        <v>0.86</v>
      </c>
    </row>
    <row r="35" spans="2:7">
      <c r="B35" s="24">
        <v>0.83</v>
      </c>
      <c r="C35" s="25">
        <v>0.74</v>
      </c>
      <c r="D35" s="25">
        <v>0.85</v>
      </c>
      <c r="E35" s="25">
        <v>0.55000000000000004</v>
      </c>
      <c r="F35" s="25">
        <v>0.73</v>
      </c>
      <c r="G35" s="26">
        <v>0.92</v>
      </c>
    </row>
    <row r="36" spans="2:7">
      <c r="B36" s="24">
        <v>0.78</v>
      </c>
      <c r="C36" s="25">
        <v>0.75</v>
      </c>
      <c r="D36" s="25">
        <v>0.84</v>
      </c>
      <c r="E36" s="25">
        <v>0.57999999999999996</v>
      </c>
      <c r="F36" s="25">
        <v>0.74</v>
      </c>
      <c r="G36" s="26">
        <v>0.87</v>
      </c>
    </row>
    <row r="37" spans="2:7">
      <c r="B37" s="24">
        <v>0.74</v>
      </c>
      <c r="C37" s="25">
        <v>0.77</v>
      </c>
      <c r="D37" s="25">
        <v>0.83</v>
      </c>
      <c r="E37" s="25">
        <v>0.55000000000000004</v>
      </c>
      <c r="F37" s="25">
        <v>0.74</v>
      </c>
      <c r="G37" s="26">
        <v>0.85</v>
      </c>
    </row>
    <row r="38" spans="2:7">
      <c r="B38" s="24">
        <v>0.72</v>
      </c>
      <c r="C38" s="25">
        <v>0.81</v>
      </c>
      <c r="D38" s="25">
        <v>0.86</v>
      </c>
      <c r="E38" s="25">
        <v>0.56000000000000005</v>
      </c>
      <c r="F38" s="25">
        <v>0.82</v>
      </c>
      <c r="G38" s="26">
        <v>0.95</v>
      </c>
    </row>
    <row r="39" spans="2:7">
      <c r="B39" s="24">
        <v>0.74</v>
      </c>
      <c r="C39" s="25">
        <v>0.78</v>
      </c>
      <c r="D39" s="25">
        <v>0.83</v>
      </c>
      <c r="E39" s="25">
        <v>0.55000000000000004</v>
      </c>
      <c r="F39" s="25">
        <v>0.76</v>
      </c>
      <c r="G39" s="26">
        <v>0.96</v>
      </c>
    </row>
    <row r="40" spans="2:7">
      <c r="B40" s="24">
        <v>0.8</v>
      </c>
      <c r="C40" s="25">
        <v>0.75</v>
      </c>
      <c r="D40" s="25">
        <v>0.8</v>
      </c>
      <c r="E40" s="25">
        <v>0.56000000000000005</v>
      </c>
      <c r="F40" s="25">
        <v>0.75</v>
      </c>
      <c r="G40" s="26">
        <v>0.88</v>
      </c>
    </row>
    <row r="41" spans="2:7">
      <c r="B41" s="24">
        <v>0.77</v>
      </c>
      <c r="C41" s="25">
        <v>0.76</v>
      </c>
      <c r="D41" s="25">
        <v>0.86</v>
      </c>
      <c r="E41" s="25">
        <v>0.56000000000000005</v>
      </c>
      <c r="F41" s="25">
        <v>0.79</v>
      </c>
      <c r="G41" s="26">
        <v>0.9</v>
      </c>
    </row>
    <row r="42" spans="2:7">
      <c r="B42" s="24">
        <v>0.72</v>
      </c>
      <c r="C42" s="25">
        <v>0.8</v>
      </c>
      <c r="D42" s="25">
        <v>0.85</v>
      </c>
      <c r="E42" s="25">
        <v>0.55000000000000004</v>
      </c>
      <c r="F42" s="25">
        <v>0.75</v>
      </c>
      <c r="G42" s="26">
        <v>0.88</v>
      </c>
    </row>
    <row r="43" spans="2:7">
      <c r="B43" s="24">
        <v>0.77</v>
      </c>
      <c r="C43" s="25">
        <v>0.77</v>
      </c>
      <c r="D43" s="25">
        <v>0.84</v>
      </c>
      <c r="E43" s="25">
        <v>0.56999999999999995</v>
      </c>
      <c r="F43" s="25">
        <v>0.82</v>
      </c>
      <c r="G43" s="26">
        <v>0.84</v>
      </c>
    </row>
    <row r="44" spans="2:7">
      <c r="B44" s="24">
        <v>0.78</v>
      </c>
      <c r="C44" s="25">
        <v>0.72</v>
      </c>
      <c r="D44" s="25">
        <v>0.82</v>
      </c>
      <c r="E44" s="25">
        <v>0.56999999999999995</v>
      </c>
      <c r="F44" s="25">
        <v>0.71</v>
      </c>
      <c r="G44" s="26">
        <v>0.8</v>
      </c>
    </row>
    <row r="45" spans="2:7">
      <c r="B45" s="24">
        <v>0.8</v>
      </c>
      <c r="C45" s="25">
        <v>0.76</v>
      </c>
      <c r="D45" s="25">
        <v>0.86</v>
      </c>
      <c r="E45" s="25">
        <v>0.61</v>
      </c>
      <c r="F45" s="25">
        <v>0.75</v>
      </c>
      <c r="G45" s="26">
        <v>0.91</v>
      </c>
    </row>
    <row r="46" spans="2:7">
      <c r="B46" s="24">
        <v>0.81</v>
      </c>
      <c r="C46" s="25">
        <v>0.79</v>
      </c>
      <c r="D46" s="25">
        <v>0.85</v>
      </c>
      <c r="E46" s="25">
        <v>0.55000000000000004</v>
      </c>
      <c r="F46" s="25">
        <v>0.77</v>
      </c>
      <c r="G46" s="26">
        <v>0.86</v>
      </c>
    </row>
    <row r="47" spans="2:7">
      <c r="B47" s="24">
        <v>0.76</v>
      </c>
      <c r="C47" s="25">
        <v>0.84</v>
      </c>
      <c r="D47" s="25">
        <v>0.79</v>
      </c>
      <c r="E47" s="25">
        <v>0.64</v>
      </c>
      <c r="F47" s="25">
        <v>0.77</v>
      </c>
      <c r="G47" s="26">
        <v>0.86</v>
      </c>
    </row>
    <row r="48" spans="2:7">
      <c r="B48" s="24">
        <v>0.77</v>
      </c>
      <c r="C48" s="25">
        <v>0.78</v>
      </c>
      <c r="D48" s="25">
        <v>0.81</v>
      </c>
      <c r="E48" s="25">
        <v>0.56999999999999995</v>
      </c>
      <c r="F48" s="25">
        <v>0.72</v>
      </c>
      <c r="G48" s="26">
        <v>0.89</v>
      </c>
    </row>
    <row r="49" spans="2:7">
      <c r="B49" s="24">
        <v>0.79</v>
      </c>
      <c r="C49" s="25">
        <v>0.82</v>
      </c>
      <c r="D49" s="25">
        <v>0.81</v>
      </c>
      <c r="E49" s="25">
        <v>0.57999999999999996</v>
      </c>
      <c r="F49" s="25">
        <v>0.65</v>
      </c>
      <c r="G49" s="26">
        <v>0.91</v>
      </c>
    </row>
    <row r="50" spans="2:7">
      <c r="B50" s="24">
        <v>0.83</v>
      </c>
      <c r="C50" s="25">
        <v>0.79</v>
      </c>
      <c r="D50" s="25">
        <v>0.85</v>
      </c>
      <c r="E50" s="25">
        <v>0.54</v>
      </c>
      <c r="F50" s="25">
        <v>0.78</v>
      </c>
      <c r="G50" s="26">
        <v>0.87</v>
      </c>
    </row>
    <row r="51" spans="2:7">
      <c r="B51" s="24">
        <v>0.75</v>
      </c>
      <c r="C51" s="25">
        <v>0.75</v>
      </c>
      <c r="D51" s="25">
        <v>0.86</v>
      </c>
      <c r="E51" s="25">
        <v>0.62</v>
      </c>
      <c r="F51" s="25">
        <v>0.74</v>
      </c>
      <c r="G51" s="26">
        <v>0.92</v>
      </c>
    </row>
    <row r="52" spans="2:7">
      <c r="B52" s="24">
        <v>0.79</v>
      </c>
      <c r="C52" s="25">
        <v>0.75</v>
      </c>
      <c r="D52" s="25">
        <v>0.91</v>
      </c>
      <c r="E52" s="25">
        <v>0.57999999999999996</v>
      </c>
      <c r="F52" s="25">
        <v>0.74</v>
      </c>
      <c r="G52" s="26">
        <v>0.87</v>
      </c>
    </row>
    <row r="53" spans="2:7">
      <c r="B53" s="24">
        <v>0.79</v>
      </c>
      <c r="C53" s="25">
        <v>0.76</v>
      </c>
      <c r="D53" s="25">
        <v>0.82</v>
      </c>
      <c r="E53" s="25">
        <v>0.55000000000000004</v>
      </c>
      <c r="F53" s="25">
        <v>0.77</v>
      </c>
      <c r="G53" s="26">
        <v>0.95</v>
      </c>
    </row>
    <row r="54" spans="2:7">
      <c r="B54" s="24">
        <v>0.81</v>
      </c>
      <c r="C54" s="25">
        <v>0.72</v>
      </c>
      <c r="D54" s="25">
        <v>0.88</v>
      </c>
      <c r="E54" s="25">
        <v>0.57999999999999996</v>
      </c>
      <c r="F54" s="25">
        <v>0.75</v>
      </c>
      <c r="G54" s="26">
        <v>0.82</v>
      </c>
    </row>
    <row r="55" spans="2:7">
      <c r="B55" s="24">
        <v>0.84</v>
      </c>
      <c r="C55" s="25">
        <v>0.8</v>
      </c>
      <c r="D55" s="25">
        <v>0.79</v>
      </c>
      <c r="E55" s="25">
        <v>0.51</v>
      </c>
      <c r="F55" s="25">
        <v>0.81</v>
      </c>
      <c r="G55" s="26">
        <v>0.82</v>
      </c>
    </row>
    <row r="56" spans="2:7">
      <c r="B56" s="24">
        <v>0.78</v>
      </c>
      <c r="C56" s="25">
        <v>0.8</v>
      </c>
      <c r="D56" s="25">
        <v>0.81</v>
      </c>
      <c r="E56" s="25">
        <v>0.51</v>
      </c>
      <c r="F56" s="25">
        <v>0.76</v>
      </c>
      <c r="G56" s="26">
        <v>0.86</v>
      </c>
    </row>
    <row r="57" spans="2:7">
      <c r="B57" s="24">
        <v>0.86</v>
      </c>
      <c r="C57" s="25">
        <v>0.8</v>
      </c>
      <c r="D57" s="25">
        <v>0.85</v>
      </c>
      <c r="E57" s="25">
        <v>0.53</v>
      </c>
      <c r="F57" s="25">
        <v>0.77</v>
      </c>
      <c r="G57" s="26">
        <v>0.82</v>
      </c>
    </row>
    <row r="58" spans="2:7">
      <c r="B58" s="24">
        <v>0.69</v>
      </c>
      <c r="C58" s="25">
        <v>0.73</v>
      </c>
      <c r="D58" s="25">
        <v>0.83</v>
      </c>
      <c r="E58" s="25">
        <v>0.59</v>
      </c>
      <c r="F58" s="25">
        <v>0.81</v>
      </c>
      <c r="G58" s="26">
        <v>0.95</v>
      </c>
    </row>
    <row r="59" spans="2:7">
      <c r="B59" s="24">
        <v>0.8</v>
      </c>
      <c r="C59" s="25">
        <v>0.76</v>
      </c>
      <c r="D59" s="25">
        <v>0.88</v>
      </c>
      <c r="E59" s="25">
        <v>0.55000000000000004</v>
      </c>
      <c r="F59" s="25">
        <v>0.81</v>
      </c>
      <c r="G59" s="26">
        <v>0.86</v>
      </c>
    </row>
    <row r="60" spans="2:7">
      <c r="B60" s="24">
        <v>0.82</v>
      </c>
      <c r="C60" s="25">
        <v>0.76</v>
      </c>
      <c r="D60" s="25">
        <v>0.79</v>
      </c>
      <c r="E60" s="25">
        <v>0.51</v>
      </c>
      <c r="F60" s="25">
        <v>0.8</v>
      </c>
      <c r="G60" s="26">
        <v>0.92</v>
      </c>
    </row>
    <row r="61" spans="2:7">
      <c r="B61" s="24">
        <v>0.75</v>
      </c>
      <c r="C61" s="25">
        <v>0.81</v>
      </c>
      <c r="D61" s="25">
        <v>0.87</v>
      </c>
      <c r="E61" s="25">
        <v>0.52</v>
      </c>
      <c r="F61" s="25">
        <v>0.81</v>
      </c>
      <c r="G61" s="26">
        <v>0.86</v>
      </c>
    </row>
    <row r="62" spans="2:7">
      <c r="B62" s="24">
        <v>0.75</v>
      </c>
      <c r="C62" s="25">
        <v>0.84</v>
      </c>
      <c r="D62" s="25">
        <v>0.82</v>
      </c>
      <c r="E62" s="25">
        <v>0.6</v>
      </c>
      <c r="F62" s="25">
        <v>0.77</v>
      </c>
      <c r="G62" s="26">
        <v>0.93</v>
      </c>
    </row>
    <row r="63" spans="2:7">
      <c r="B63" s="24">
        <v>0.83</v>
      </c>
      <c r="C63" s="25">
        <v>0.76</v>
      </c>
      <c r="D63" s="25">
        <v>0.79</v>
      </c>
      <c r="E63" s="25">
        <v>0.53</v>
      </c>
      <c r="F63" s="25">
        <v>0.77</v>
      </c>
      <c r="G63" s="26">
        <v>0.92</v>
      </c>
    </row>
    <row r="64" spans="2:7">
      <c r="B64" s="24">
        <v>0.76</v>
      </c>
      <c r="C64" s="25">
        <v>0.68</v>
      </c>
      <c r="D64" s="25">
        <v>0.84</v>
      </c>
      <c r="E64" s="25">
        <v>0.49</v>
      </c>
      <c r="F64" s="25">
        <v>0.78</v>
      </c>
      <c r="G64" s="26">
        <v>0.93</v>
      </c>
    </row>
    <row r="65" spans="2:7">
      <c r="B65" s="24">
        <v>0.76</v>
      </c>
      <c r="C65" s="25">
        <v>0.79</v>
      </c>
      <c r="D65" s="25">
        <v>0.78</v>
      </c>
      <c r="E65" s="25">
        <v>0.54</v>
      </c>
      <c r="F65" s="25">
        <v>0.69</v>
      </c>
      <c r="G65" s="26">
        <v>0.78</v>
      </c>
    </row>
    <row r="66" spans="2:7">
      <c r="B66" s="24">
        <v>0.76</v>
      </c>
      <c r="C66" s="25">
        <v>0.79</v>
      </c>
      <c r="D66" s="25">
        <v>0.74</v>
      </c>
      <c r="E66" s="25">
        <v>0.59</v>
      </c>
      <c r="F66" s="25">
        <v>0.78</v>
      </c>
      <c r="G66" s="26">
        <v>0.81</v>
      </c>
    </row>
    <row r="67" spans="2:7">
      <c r="B67" s="24">
        <v>0.86</v>
      </c>
      <c r="C67" s="25">
        <v>0.82</v>
      </c>
      <c r="D67" s="25">
        <v>0.88</v>
      </c>
      <c r="E67" s="25">
        <v>0.57999999999999996</v>
      </c>
      <c r="F67" s="25">
        <v>0.67</v>
      </c>
      <c r="G67" s="26">
        <v>0.92</v>
      </c>
    </row>
    <row r="68" spans="2:7">
      <c r="B68" s="24">
        <v>0.76</v>
      </c>
      <c r="C68" s="25">
        <v>0.81</v>
      </c>
      <c r="D68" s="25">
        <v>0.8</v>
      </c>
      <c r="E68" s="25">
        <v>0.63</v>
      </c>
      <c r="F68" s="25">
        <v>0.65</v>
      </c>
      <c r="G68" s="26">
        <v>0.81</v>
      </c>
    </row>
    <row r="69" spans="2:7">
      <c r="B69" s="24">
        <v>0.85</v>
      </c>
      <c r="C69" s="25">
        <v>0.77</v>
      </c>
      <c r="D69" s="25">
        <v>0.88</v>
      </c>
      <c r="E69" s="25">
        <v>0.63</v>
      </c>
      <c r="F69" s="25">
        <v>0.73</v>
      </c>
      <c r="G69" s="26">
        <v>0.92</v>
      </c>
    </row>
    <row r="70" spans="2:7">
      <c r="B70" s="24">
        <v>0.82</v>
      </c>
      <c r="C70" s="25">
        <v>0.72</v>
      </c>
      <c r="D70" s="25">
        <v>0.9</v>
      </c>
      <c r="E70" s="25">
        <v>0.59</v>
      </c>
      <c r="F70" s="25">
        <v>0.77</v>
      </c>
      <c r="G70" s="26">
        <v>0.85</v>
      </c>
    </row>
    <row r="71" spans="2:7">
      <c r="B71" s="24">
        <v>0.74</v>
      </c>
      <c r="C71" s="25">
        <v>0.85</v>
      </c>
      <c r="D71" s="25">
        <v>0.81</v>
      </c>
      <c r="E71" s="25">
        <v>0.59</v>
      </c>
      <c r="F71" s="25">
        <v>0.73</v>
      </c>
      <c r="G71" s="26">
        <v>0.89</v>
      </c>
    </row>
    <row r="72" spans="2:7">
      <c r="B72" s="24">
        <v>0.79</v>
      </c>
      <c r="C72" s="25">
        <v>0.83</v>
      </c>
      <c r="D72" s="25">
        <v>0.84</v>
      </c>
      <c r="E72" s="25">
        <v>0.55000000000000004</v>
      </c>
      <c r="F72" s="25">
        <v>0.81</v>
      </c>
      <c r="G72" s="26">
        <v>0.9</v>
      </c>
    </row>
    <row r="73" spans="2:7">
      <c r="B73" s="24">
        <v>0.79</v>
      </c>
      <c r="C73" s="25">
        <v>0.78</v>
      </c>
      <c r="D73" s="25">
        <v>0.83</v>
      </c>
      <c r="E73" s="25">
        <v>0.51</v>
      </c>
      <c r="F73" s="25">
        <v>0.72</v>
      </c>
      <c r="G73" s="26">
        <v>0.8</v>
      </c>
    </row>
    <row r="74" spans="2:7">
      <c r="B74" s="24">
        <v>0.78</v>
      </c>
      <c r="C74" s="25">
        <v>0.73</v>
      </c>
      <c r="D74" s="25">
        <v>0.81</v>
      </c>
      <c r="E74" s="25">
        <v>0.57999999999999996</v>
      </c>
      <c r="F74" s="25">
        <v>0.75</v>
      </c>
      <c r="G74" s="26">
        <v>0.92</v>
      </c>
    </row>
    <row r="75" spans="2:7">
      <c r="B75" s="24">
        <v>0.81</v>
      </c>
      <c r="C75" s="25">
        <v>0.8</v>
      </c>
      <c r="D75" s="25">
        <v>0.92</v>
      </c>
      <c r="E75" s="25">
        <v>0.6</v>
      </c>
      <c r="F75" s="25">
        <v>0.74</v>
      </c>
      <c r="G75" s="26">
        <v>0.85</v>
      </c>
    </row>
    <row r="76" spans="2:7">
      <c r="B76" s="24">
        <v>0.72</v>
      </c>
      <c r="C76" s="25">
        <v>0.72</v>
      </c>
      <c r="D76" s="25">
        <v>0.85</v>
      </c>
      <c r="E76" s="25">
        <v>0.56999999999999995</v>
      </c>
      <c r="F76" s="25">
        <v>0.73</v>
      </c>
      <c r="G76" s="26">
        <v>0.74</v>
      </c>
    </row>
    <row r="77" spans="2:7">
      <c r="B77" s="24">
        <v>0.78</v>
      </c>
      <c r="C77" s="25">
        <v>0.76</v>
      </c>
      <c r="D77" s="25">
        <v>0.86</v>
      </c>
      <c r="E77" s="25">
        <v>0.59</v>
      </c>
      <c r="F77" s="25">
        <v>0.8</v>
      </c>
      <c r="G77" s="26">
        <v>0.9</v>
      </c>
    </row>
    <row r="78" spans="2:7">
      <c r="B78" s="24">
        <v>0.84</v>
      </c>
      <c r="C78" s="25">
        <v>0.72</v>
      </c>
      <c r="D78" s="25">
        <v>0.79</v>
      </c>
      <c r="E78" s="25">
        <v>0.55000000000000004</v>
      </c>
      <c r="F78" s="25">
        <v>0.74</v>
      </c>
      <c r="G78" s="26">
        <v>0.94</v>
      </c>
    </row>
    <row r="79" spans="2:7">
      <c r="B79" s="24">
        <v>0.8</v>
      </c>
      <c r="C79" s="25">
        <v>0.77</v>
      </c>
      <c r="D79" s="25">
        <v>0.83</v>
      </c>
      <c r="E79" s="25">
        <v>0.51</v>
      </c>
      <c r="F79" s="25">
        <v>0.76</v>
      </c>
      <c r="G79" s="26">
        <v>0.89</v>
      </c>
    </row>
    <row r="80" spans="2:7">
      <c r="B80" s="24">
        <v>0.77</v>
      </c>
      <c r="C80" s="25">
        <v>0.81</v>
      </c>
      <c r="D80" s="25">
        <v>0.74</v>
      </c>
      <c r="E80" s="25">
        <v>0.56999999999999995</v>
      </c>
      <c r="F80" s="25">
        <v>0.74</v>
      </c>
      <c r="G80" s="26">
        <v>0.8</v>
      </c>
    </row>
    <row r="81" spans="2:7">
      <c r="B81" s="24">
        <v>0.83</v>
      </c>
      <c r="C81" s="25">
        <v>0.79</v>
      </c>
      <c r="D81" s="25">
        <v>0.82</v>
      </c>
      <c r="E81" s="25">
        <v>0.53</v>
      </c>
      <c r="F81" s="25">
        <v>0.71</v>
      </c>
      <c r="G81" s="26">
        <v>0.94</v>
      </c>
    </row>
    <row r="82" spans="2:7">
      <c r="B82" s="24">
        <v>0.86</v>
      </c>
      <c r="C82" s="25">
        <v>0.81</v>
      </c>
      <c r="D82" s="25">
        <v>0.86</v>
      </c>
      <c r="E82" s="25">
        <v>0.51</v>
      </c>
      <c r="F82" s="25">
        <v>0.79</v>
      </c>
      <c r="G82" s="26">
        <v>0.85</v>
      </c>
    </row>
    <row r="83" spans="2:7">
      <c r="B83" s="24">
        <v>0.77</v>
      </c>
      <c r="C83" s="25">
        <v>0.74</v>
      </c>
      <c r="D83" s="25">
        <v>0.81</v>
      </c>
      <c r="E83" s="25">
        <v>0.55000000000000004</v>
      </c>
      <c r="F83" s="25">
        <v>0.78</v>
      </c>
      <c r="G83" s="26">
        <v>0.92</v>
      </c>
    </row>
    <row r="84" spans="2:7">
      <c r="B84" s="24">
        <v>0.73</v>
      </c>
      <c r="C84" s="25">
        <v>0.84</v>
      </c>
      <c r="D84" s="25">
        <v>0.85</v>
      </c>
      <c r="E84" s="25">
        <v>0.59</v>
      </c>
      <c r="F84" s="25">
        <v>0.81</v>
      </c>
      <c r="G84" s="26">
        <v>0.9</v>
      </c>
    </row>
    <row r="85" spans="2:7">
      <c r="B85" s="24">
        <v>0.79</v>
      </c>
      <c r="C85" s="25">
        <v>0.77</v>
      </c>
      <c r="D85" s="25">
        <v>0.82</v>
      </c>
      <c r="E85" s="25">
        <v>0.52</v>
      </c>
      <c r="F85" s="25">
        <v>0.59</v>
      </c>
      <c r="G85" s="26">
        <v>0.81</v>
      </c>
    </row>
    <row r="86" spans="2:7">
      <c r="B86" s="24">
        <v>0.87</v>
      </c>
      <c r="C86" s="25">
        <v>0.82</v>
      </c>
      <c r="D86" s="25">
        <v>0.82</v>
      </c>
      <c r="E86" s="25">
        <v>0.62</v>
      </c>
      <c r="F86" s="25">
        <v>0.83</v>
      </c>
      <c r="G86" s="26">
        <v>0.94</v>
      </c>
    </row>
    <row r="87" spans="2:7">
      <c r="B87" s="24">
        <v>0.81</v>
      </c>
      <c r="C87" s="25">
        <v>0.81</v>
      </c>
      <c r="D87" s="25">
        <v>0.74</v>
      </c>
      <c r="E87" s="25">
        <v>0.59</v>
      </c>
      <c r="F87" s="25">
        <v>0.8</v>
      </c>
      <c r="G87" s="26">
        <v>0.88</v>
      </c>
    </row>
    <row r="88" spans="2:7">
      <c r="B88" s="24">
        <v>0.77</v>
      </c>
      <c r="C88" s="25">
        <v>0.84</v>
      </c>
      <c r="D88" s="25">
        <v>0.82</v>
      </c>
      <c r="E88" s="25">
        <v>0.53</v>
      </c>
      <c r="F88" s="25">
        <v>0.77</v>
      </c>
      <c r="G88" s="26">
        <v>0.87</v>
      </c>
    </row>
    <row r="89" spans="2:7">
      <c r="B89" s="24">
        <v>0.78</v>
      </c>
      <c r="C89" s="25">
        <v>0.78</v>
      </c>
      <c r="D89" s="25">
        <v>0.81</v>
      </c>
      <c r="E89" s="25">
        <v>0.56999999999999995</v>
      </c>
      <c r="F89" s="25">
        <v>0.73</v>
      </c>
      <c r="G89" s="26">
        <v>0.84</v>
      </c>
    </row>
    <row r="90" spans="2:7">
      <c r="B90" s="24">
        <v>0.74</v>
      </c>
      <c r="C90" s="25">
        <v>0.73</v>
      </c>
      <c r="D90" s="25">
        <v>0.82</v>
      </c>
      <c r="E90" s="25">
        <v>0.55000000000000004</v>
      </c>
      <c r="F90" s="25">
        <v>0.8</v>
      </c>
      <c r="G90" s="26">
        <v>0.88</v>
      </c>
    </row>
    <row r="91" spans="2:7">
      <c r="B91" s="24">
        <v>0.81</v>
      </c>
      <c r="C91" s="25">
        <v>0.79</v>
      </c>
      <c r="D91" s="25">
        <v>0.89</v>
      </c>
      <c r="E91" s="25">
        <v>0.55000000000000004</v>
      </c>
      <c r="F91" s="25">
        <v>0.73</v>
      </c>
      <c r="G91" s="26">
        <v>0.84</v>
      </c>
    </row>
    <row r="92" spans="2:7">
      <c r="B92" s="24">
        <v>0.78</v>
      </c>
      <c r="C92" s="25">
        <v>0.76</v>
      </c>
      <c r="D92" s="25">
        <v>0.79</v>
      </c>
      <c r="E92" s="25">
        <v>0.53</v>
      </c>
      <c r="F92" s="25">
        <v>0.7</v>
      </c>
      <c r="G92" s="26">
        <v>0.92</v>
      </c>
    </row>
    <row r="93" spans="2:7">
      <c r="B93" s="24">
        <v>0.71</v>
      </c>
      <c r="C93" s="25">
        <v>0.76</v>
      </c>
      <c r="D93" s="25">
        <v>0.84</v>
      </c>
      <c r="E93" s="25">
        <v>0.56000000000000005</v>
      </c>
      <c r="F93" s="25">
        <v>0.75</v>
      </c>
      <c r="G93" s="26">
        <v>0.89</v>
      </c>
    </row>
    <row r="94" spans="2:7">
      <c r="B94" s="24">
        <v>0.79</v>
      </c>
      <c r="C94" s="25">
        <v>0.78</v>
      </c>
      <c r="D94" s="25">
        <v>0.89</v>
      </c>
      <c r="E94" s="25">
        <v>0.61</v>
      </c>
      <c r="F94" s="25">
        <v>0.78</v>
      </c>
      <c r="G94" s="26">
        <v>0.88</v>
      </c>
    </row>
    <row r="95" spans="2:7">
      <c r="B95" s="24">
        <v>0.8</v>
      </c>
      <c r="C95" s="25">
        <v>0.78</v>
      </c>
      <c r="D95" s="25">
        <v>0.81</v>
      </c>
      <c r="E95" s="25">
        <v>0.56000000000000005</v>
      </c>
      <c r="F95" s="25">
        <v>0.83</v>
      </c>
      <c r="G95" s="26">
        <v>0.85</v>
      </c>
    </row>
    <row r="96" spans="2:7">
      <c r="B96" s="24">
        <v>0.79</v>
      </c>
      <c r="C96" s="25">
        <v>0.73</v>
      </c>
      <c r="D96" s="25">
        <v>0.88</v>
      </c>
      <c r="E96" s="25">
        <v>0.59</v>
      </c>
      <c r="F96" s="25">
        <v>0.63</v>
      </c>
      <c r="G96" s="26">
        <v>0.95</v>
      </c>
    </row>
    <row r="97" spans="2:10">
      <c r="B97" s="24">
        <v>0.74</v>
      </c>
      <c r="C97" s="25">
        <v>0.8</v>
      </c>
      <c r="D97" s="25">
        <v>0.84</v>
      </c>
      <c r="E97" s="25">
        <v>0.57999999999999996</v>
      </c>
      <c r="F97" s="25">
        <v>0.75</v>
      </c>
      <c r="G97" s="26">
        <v>0.91</v>
      </c>
    </row>
    <row r="98" spans="2:10">
      <c r="B98" s="24">
        <v>0.77</v>
      </c>
      <c r="C98" s="25">
        <v>0.81</v>
      </c>
      <c r="D98" s="25">
        <v>0.87</v>
      </c>
      <c r="E98" s="25">
        <v>0.53</v>
      </c>
      <c r="F98" s="25">
        <v>0.71</v>
      </c>
      <c r="G98" s="26">
        <v>0.91</v>
      </c>
    </row>
    <row r="99" spans="2:10">
      <c r="B99" s="24">
        <v>0.86</v>
      </c>
      <c r="C99" s="25">
        <v>0.81</v>
      </c>
      <c r="D99" s="25">
        <v>0.8</v>
      </c>
      <c r="E99" s="25">
        <v>0.56999999999999995</v>
      </c>
      <c r="F99" s="25">
        <v>0.68</v>
      </c>
      <c r="G99" s="26">
        <v>0.88</v>
      </c>
    </row>
    <row r="100" spans="2:10">
      <c r="B100" s="24">
        <v>0.79</v>
      </c>
      <c r="C100" s="25">
        <v>0.76</v>
      </c>
      <c r="D100" s="25">
        <v>0.75</v>
      </c>
      <c r="E100" s="25">
        <v>0.56000000000000005</v>
      </c>
      <c r="F100" s="25">
        <v>0.75</v>
      </c>
      <c r="G100" s="26">
        <v>0.86</v>
      </c>
    </row>
    <row r="101" spans="2:10">
      <c r="B101" s="24">
        <v>0.78</v>
      </c>
      <c r="C101" s="25">
        <v>0.72</v>
      </c>
      <c r="D101" s="25">
        <v>0.8</v>
      </c>
      <c r="E101" s="25">
        <v>0.55000000000000004</v>
      </c>
      <c r="F101" s="25">
        <v>0.76</v>
      </c>
      <c r="G101" s="26">
        <v>0.91</v>
      </c>
    </row>
    <row r="102" spans="2:10">
      <c r="B102" s="27">
        <v>0.79</v>
      </c>
      <c r="C102" s="28">
        <v>0.8</v>
      </c>
      <c r="D102" s="28">
        <v>0.84</v>
      </c>
      <c r="E102" s="28">
        <v>0.56000000000000005</v>
      </c>
      <c r="F102" s="28">
        <v>0.66</v>
      </c>
      <c r="G102" s="29">
        <v>0.92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>
      <c r="B107" s="71" t="s">
        <v>19</v>
      </c>
      <c r="C107" s="79">
        <v>0.78120000000000001</v>
      </c>
      <c r="D107" s="79">
        <v>4.0399999999999998E-2</v>
      </c>
      <c r="E107" s="79">
        <v>0.78</v>
      </c>
      <c r="F107" s="79">
        <v>0.77329999999999999</v>
      </c>
      <c r="G107" s="79">
        <v>0.78910000000000002</v>
      </c>
      <c r="H107" s="81">
        <v>0.69</v>
      </c>
      <c r="I107" s="81">
        <v>0.87</v>
      </c>
      <c r="J107" s="72">
        <v>5.2</v>
      </c>
    </row>
    <row r="108" spans="2:10">
      <c r="B108" s="71" t="s">
        <v>20</v>
      </c>
      <c r="C108" s="79">
        <v>0.77429999999999999</v>
      </c>
      <c r="D108" s="79">
        <v>3.5700000000000003E-2</v>
      </c>
      <c r="E108" s="79">
        <v>0.78</v>
      </c>
      <c r="F108" s="79">
        <v>0.76729999999999998</v>
      </c>
      <c r="G108" s="79">
        <v>0.78129999999999999</v>
      </c>
      <c r="H108" s="81">
        <v>0.68</v>
      </c>
      <c r="I108" s="81">
        <v>0.85</v>
      </c>
      <c r="J108" s="72">
        <v>4.5999999999999996</v>
      </c>
    </row>
    <row r="109" spans="2:10">
      <c r="B109" s="71" t="s">
        <v>3</v>
      </c>
      <c r="C109" s="79">
        <v>0.83479999999999999</v>
      </c>
      <c r="D109" s="79">
        <v>3.9300000000000002E-2</v>
      </c>
      <c r="E109" s="79">
        <v>0.84</v>
      </c>
      <c r="F109" s="79">
        <v>0.82709999999999995</v>
      </c>
      <c r="G109" s="79">
        <v>0.84250000000000003</v>
      </c>
      <c r="H109" s="81">
        <v>0.71</v>
      </c>
      <c r="I109" s="81">
        <v>0.92</v>
      </c>
      <c r="J109" s="72">
        <v>4.7</v>
      </c>
    </row>
    <row r="110" spans="2:10">
      <c r="B110" s="71" t="s">
        <v>21</v>
      </c>
      <c r="C110" s="79">
        <v>0.5635</v>
      </c>
      <c r="D110" s="79">
        <v>3.5000000000000003E-2</v>
      </c>
      <c r="E110" s="79">
        <v>0.56000000000000005</v>
      </c>
      <c r="F110" s="79">
        <v>0.55659999999999998</v>
      </c>
      <c r="G110" s="79">
        <v>0.57040000000000002</v>
      </c>
      <c r="H110" s="81">
        <v>0.49</v>
      </c>
      <c r="I110" s="81">
        <v>0.64</v>
      </c>
      <c r="J110" s="72">
        <v>6.2</v>
      </c>
    </row>
    <row r="111" spans="2:10">
      <c r="B111" s="71" t="s">
        <v>22</v>
      </c>
      <c r="C111" s="79">
        <v>0.75660000000000005</v>
      </c>
      <c r="D111" s="79">
        <v>4.6800000000000001E-2</v>
      </c>
      <c r="E111" s="79">
        <v>0.76</v>
      </c>
      <c r="F111" s="79">
        <v>0.74739999999999995</v>
      </c>
      <c r="G111" s="79">
        <v>0.76580000000000004</v>
      </c>
      <c r="H111" s="81">
        <v>0.59</v>
      </c>
      <c r="I111" s="81">
        <v>0.86</v>
      </c>
      <c r="J111" s="72">
        <v>6.2</v>
      </c>
    </row>
    <row r="112" spans="2:10">
      <c r="B112" s="73" t="s">
        <v>6</v>
      </c>
      <c r="C112" s="80">
        <v>0.88339999999999996</v>
      </c>
      <c r="D112" s="80">
        <v>4.7399999999999998E-2</v>
      </c>
      <c r="E112" s="80">
        <v>0.88</v>
      </c>
      <c r="F112" s="80">
        <v>0.87409999999999999</v>
      </c>
      <c r="G112" s="80">
        <v>0.89270000000000005</v>
      </c>
      <c r="H112" s="82">
        <v>0.74</v>
      </c>
      <c r="I112" s="82">
        <v>0.97</v>
      </c>
      <c r="J112" s="74">
        <v>5.4</v>
      </c>
    </row>
    <row r="113" spans="2:10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4.25">
      <c r="B117" s="77">
        <v>2.7277</v>
      </c>
      <c r="C117" s="78">
        <v>1.9E-2</v>
      </c>
      <c r="D117" s="83" t="s">
        <v>28</v>
      </c>
      <c r="E117" s="66"/>
      <c r="F117" s="66"/>
      <c r="G117" s="66"/>
      <c r="H117" s="66"/>
      <c r="I117" s="66"/>
      <c r="J117" s="66"/>
    </row>
    <row r="118" spans="2:10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4.25">
      <c r="B122" s="87">
        <v>831.68219999999997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>
      <c r="B127" s="93" t="s">
        <v>19</v>
      </c>
      <c r="C127" s="95" t="s">
        <v>20</v>
      </c>
      <c r="D127" s="91">
        <v>6.8999999999999999E-3</v>
      </c>
      <c r="E127" s="91">
        <v>5.4000000000000003E-3</v>
      </c>
      <c r="F127" s="91">
        <v>-3.7000000000000002E-3</v>
      </c>
      <c r="G127" s="91">
        <v>1.7500000000000002E-2</v>
      </c>
      <c r="H127" s="92">
        <v>0.20219999999999999</v>
      </c>
      <c r="I127" s="89" t="s">
        <v>40</v>
      </c>
      <c r="J127" s="66"/>
    </row>
    <row r="128" spans="2:10">
      <c r="B128" s="71" t="s">
        <v>19</v>
      </c>
      <c r="C128" s="96" t="s">
        <v>3</v>
      </c>
      <c r="D128" s="79">
        <v>-5.3600000000000002E-2</v>
      </c>
      <c r="E128" s="79">
        <v>5.5999999999999999E-3</v>
      </c>
      <c r="F128" s="79">
        <v>-6.4699999999999994E-2</v>
      </c>
      <c r="G128" s="79">
        <v>-4.2500000000000003E-2</v>
      </c>
      <c r="H128" s="88" t="s">
        <v>27</v>
      </c>
      <c r="I128" s="90" t="s">
        <v>41</v>
      </c>
      <c r="J128" s="66"/>
    </row>
    <row r="129" spans="2:10">
      <c r="B129" s="71" t="s">
        <v>19</v>
      </c>
      <c r="C129" s="96" t="s">
        <v>21</v>
      </c>
      <c r="D129" s="79">
        <v>0.2177</v>
      </c>
      <c r="E129" s="79">
        <v>5.3E-3</v>
      </c>
      <c r="F129" s="79">
        <v>0.2072</v>
      </c>
      <c r="G129" s="79">
        <v>0.22819999999999999</v>
      </c>
      <c r="H129" s="88" t="s">
        <v>27</v>
      </c>
      <c r="I129" s="90" t="s">
        <v>41</v>
      </c>
      <c r="J129" s="66"/>
    </row>
    <row r="130" spans="2:10">
      <c r="B130" s="71" t="s">
        <v>19</v>
      </c>
      <c r="C130" s="96" t="s">
        <v>22</v>
      </c>
      <c r="D130" s="79">
        <v>2.46E-2</v>
      </c>
      <c r="E130" s="79">
        <v>6.1999999999999998E-3</v>
      </c>
      <c r="F130" s="79">
        <v>1.24E-2</v>
      </c>
      <c r="G130" s="79">
        <v>3.6799999999999999E-2</v>
      </c>
      <c r="H130" s="88" t="s">
        <v>27</v>
      </c>
      <c r="I130" s="90" t="s">
        <v>41</v>
      </c>
      <c r="J130" s="66"/>
    </row>
    <row r="131" spans="2:10">
      <c r="B131" s="71" t="s">
        <v>19</v>
      </c>
      <c r="C131" s="96" t="s">
        <v>6</v>
      </c>
      <c r="D131" s="79">
        <v>-0.1022</v>
      </c>
      <c r="E131" s="79">
        <v>6.1999999999999998E-3</v>
      </c>
      <c r="F131" s="79">
        <v>-0.1145</v>
      </c>
      <c r="G131" s="79">
        <v>-8.9899999999999994E-2</v>
      </c>
      <c r="H131" s="88" t="s">
        <v>27</v>
      </c>
      <c r="I131" s="90" t="s">
        <v>41</v>
      </c>
      <c r="J131" s="66"/>
    </row>
    <row r="132" spans="2:10">
      <c r="B132" s="71" t="s">
        <v>20</v>
      </c>
      <c r="C132" s="96" t="s">
        <v>3</v>
      </c>
      <c r="D132" s="79">
        <v>-6.0499999999999998E-2</v>
      </c>
      <c r="E132" s="79">
        <v>5.3E-3</v>
      </c>
      <c r="F132" s="79">
        <v>-7.0999999999999994E-2</v>
      </c>
      <c r="G132" s="79">
        <v>-0.05</v>
      </c>
      <c r="H132" s="88" t="s">
        <v>27</v>
      </c>
      <c r="I132" s="90" t="s">
        <v>41</v>
      </c>
      <c r="J132" s="66"/>
    </row>
    <row r="133" spans="2:10">
      <c r="B133" s="71" t="s">
        <v>20</v>
      </c>
      <c r="C133" s="96" t="s">
        <v>21</v>
      </c>
      <c r="D133" s="79">
        <v>0.21079999999999999</v>
      </c>
      <c r="E133" s="79">
        <v>5.0000000000000001E-3</v>
      </c>
      <c r="F133" s="79">
        <v>0.2009</v>
      </c>
      <c r="G133" s="79">
        <v>0.22070000000000001</v>
      </c>
      <c r="H133" s="88" t="s">
        <v>27</v>
      </c>
      <c r="I133" s="90" t="s">
        <v>41</v>
      </c>
      <c r="J133" s="66"/>
    </row>
    <row r="134" spans="2:10">
      <c r="B134" s="71" t="s">
        <v>20</v>
      </c>
      <c r="C134" s="96" t="s">
        <v>22</v>
      </c>
      <c r="D134" s="79">
        <v>1.77E-2</v>
      </c>
      <c r="E134" s="79">
        <v>5.8999999999999999E-3</v>
      </c>
      <c r="F134" s="79">
        <v>6.1000000000000004E-3</v>
      </c>
      <c r="G134" s="79">
        <v>2.93E-2</v>
      </c>
      <c r="H134" s="88">
        <v>3.0000000000000001E-3</v>
      </c>
      <c r="I134" s="90" t="s">
        <v>41</v>
      </c>
      <c r="J134" s="66"/>
    </row>
    <row r="135" spans="2:10">
      <c r="B135" s="71" t="s">
        <v>20</v>
      </c>
      <c r="C135" s="96" t="s">
        <v>6</v>
      </c>
      <c r="D135" s="79">
        <v>-0.1091</v>
      </c>
      <c r="E135" s="79">
        <v>5.8999999999999999E-3</v>
      </c>
      <c r="F135" s="79">
        <v>-0.1208</v>
      </c>
      <c r="G135" s="79">
        <v>-9.74E-2</v>
      </c>
      <c r="H135" s="88" t="s">
        <v>27</v>
      </c>
      <c r="I135" s="90" t="s">
        <v>41</v>
      </c>
      <c r="J135" s="66"/>
    </row>
    <row r="136" spans="2:10">
      <c r="B136" s="71" t="s">
        <v>3</v>
      </c>
      <c r="C136" s="96" t="s">
        <v>21</v>
      </c>
      <c r="D136" s="79">
        <v>0.27129999999999999</v>
      </c>
      <c r="E136" s="79">
        <v>5.3E-3</v>
      </c>
      <c r="F136" s="79">
        <v>0.26090000000000002</v>
      </c>
      <c r="G136" s="79">
        <v>0.28170000000000001</v>
      </c>
      <c r="H136" s="88" t="s">
        <v>27</v>
      </c>
      <c r="I136" s="90" t="s">
        <v>41</v>
      </c>
      <c r="J136" s="66"/>
    </row>
    <row r="137" spans="2:10">
      <c r="B137" s="71" t="s">
        <v>3</v>
      </c>
      <c r="C137" s="96" t="s">
        <v>22</v>
      </c>
      <c r="D137" s="79">
        <v>7.8200000000000006E-2</v>
      </c>
      <c r="E137" s="79">
        <v>6.1000000000000004E-3</v>
      </c>
      <c r="F137" s="79">
        <v>6.6100000000000006E-2</v>
      </c>
      <c r="G137" s="79">
        <v>9.0300000000000005E-2</v>
      </c>
      <c r="H137" s="88" t="s">
        <v>27</v>
      </c>
      <c r="I137" s="90" t="s">
        <v>41</v>
      </c>
      <c r="J137" s="66"/>
    </row>
    <row r="138" spans="2:10">
      <c r="B138" s="71" t="s">
        <v>3</v>
      </c>
      <c r="C138" s="96" t="s">
        <v>6</v>
      </c>
      <c r="D138" s="79">
        <v>-4.8599999999999997E-2</v>
      </c>
      <c r="E138" s="79">
        <v>6.1999999999999998E-3</v>
      </c>
      <c r="F138" s="79">
        <v>-6.08E-2</v>
      </c>
      <c r="G138" s="79">
        <v>-3.6400000000000002E-2</v>
      </c>
      <c r="H138" s="88" t="s">
        <v>27</v>
      </c>
      <c r="I138" s="90" t="s">
        <v>41</v>
      </c>
      <c r="J138" s="66"/>
    </row>
    <row r="139" spans="2:10">
      <c r="B139" s="71" t="s">
        <v>21</v>
      </c>
      <c r="C139" s="96" t="s">
        <v>22</v>
      </c>
      <c r="D139" s="79">
        <v>-0.19309999999999999</v>
      </c>
      <c r="E139" s="79">
        <v>5.7999999999999996E-3</v>
      </c>
      <c r="F139" s="79">
        <v>-0.2046</v>
      </c>
      <c r="G139" s="79">
        <v>-0.18160000000000001</v>
      </c>
      <c r="H139" s="88" t="s">
        <v>27</v>
      </c>
      <c r="I139" s="90" t="s">
        <v>41</v>
      </c>
      <c r="J139" s="66"/>
    </row>
    <row r="140" spans="2:10">
      <c r="B140" s="71" t="s">
        <v>21</v>
      </c>
      <c r="C140" s="96" t="s">
        <v>6</v>
      </c>
      <c r="D140" s="79">
        <v>-0.31990000000000002</v>
      </c>
      <c r="E140" s="79">
        <v>5.8999999999999999E-3</v>
      </c>
      <c r="F140" s="79">
        <v>-0.33150000000000002</v>
      </c>
      <c r="G140" s="79">
        <v>-0.30830000000000002</v>
      </c>
      <c r="H140" s="88" t="s">
        <v>27</v>
      </c>
      <c r="I140" s="90" t="s">
        <v>41</v>
      </c>
      <c r="J140" s="66"/>
    </row>
    <row r="141" spans="2:10">
      <c r="B141" s="73" t="s">
        <v>22</v>
      </c>
      <c r="C141" s="94" t="s">
        <v>6</v>
      </c>
      <c r="D141" s="80">
        <v>-0.1268</v>
      </c>
      <c r="E141" s="80">
        <v>6.7000000000000002E-3</v>
      </c>
      <c r="F141" s="80">
        <v>-0.1399</v>
      </c>
      <c r="G141" s="80">
        <v>-0.1137</v>
      </c>
      <c r="H141" s="84" t="s">
        <v>27</v>
      </c>
      <c r="I141" s="85" t="s">
        <v>41</v>
      </c>
      <c r="J141" s="66"/>
    </row>
    <row r="142" spans="2:10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31AE-A32C-4A32-87FA-7F7034477EDE}">
  <dimension ref="B1:J143"/>
  <sheetViews>
    <sheetView topLeftCell="A124" workbookViewId="0">
      <selection activeCell="A144" sqref="A144:XFD161"/>
    </sheetView>
  </sheetViews>
  <sheetFormatPr defaultRowHeight="12.75"/>
  <cols>
    <col min="1" max="1" width="9.140625" style="41"/>
    <col min="2" max="2" width="36.5703125" style="41" bestFit="1" customWidth="1"/>
    <col min="3" max="3" width="11.85546875" style="41" bestFit="1" customWidth="1"/>
    <col min="4" max="4" width="15.85546875" style="41" bestFit="1" customWidth="1"/>
    <col min="5" max="5" width="11.85546875" style="41" bestFit="1" customWidth="1"/>
    <col min="6" max="6" width="13.85546875" style="41" bestFit="1" customWidth="1"/>
    <col min="7" max="7" width="15.140625" style="41" bestFit="1" customWidth="1"/>
    <col min="8" max="10" width="11.85546875" style="41" bestFit="1" customWidth="1"/>
    <col min="11" max="16384" width="9.140625" style="41"/>
  </cols>
  <sheetData>
    <row r="1" spans="2:7">
      <c r="B1" s="60" t="s">
        <v>48</v>
      </c>
      <c r="C1" s="61"/>
      <c r="D1" s="61"/>
      <c r="E1" s="61"/>
      <c r="F1" s="61"/>
      <c r="G1" s="62"/>
    </row>
    <row r="2" spans="2:7">
      <c r="B2" s="42" t="s">
        <v>1</v>
      </c>
      <c r="C2" s="42" t="s">
        <v>2</v>
      </c>
      <c r="D2" s="42" t="s">
        <v>3</v>
      </c>
      <c r="E2" s="42" t="s">
        <v>4</v>
      </c>
      <c r="F2" s="42" t="s">
        <v>5</v>
      </c>
      <c r="G2" s="43" t="s">
        <v>6</v>
      </c>
    </row>
    <row r="3" spans="2:7">
      <c r="B3" s="44">
        <v>9.02</v>
      </c>
      <c r="C3" s="45">
        <v>9</v>
      </c>
      <c r="D3" s="45">
        <v>6.07</v>
      </c>
      <c r="E3" s="45">
        <v>9.02</v>
      </c>
      <c r="F3" s="45">
        <v>4.4400000000000004</v>
      </c>
      <c r="G3" s="46">
        <v>9.02</v>
      </c>
    </row>
    <row r="4" spans="2:7">
      <c r="B4" s="47">
        <v>9.02</v>
      </c>
      <c r="C4" s="48">
        <v>9.02</v>
      </c>
      <c r="D4" s="48">
        <v>9.01</v>
      </c>
      <c r="E4" s="48">
        <v>6.87</v>
      </c>
      <c r="F4" s="48">
        <v>9.02</v>
      </c>
      <c r="G4" s="49">
        <v>9.02</v>
      </c>
    </row>
    <row r="5" spans="2:7">
      <c r="B5" s="47">
        <v>9.02</v>
      </c>
      <c r="C5" s="48">
        <v>9.01</v>
      </c>
      <c r="D5" s="48">
        <v>8.8699999999999992</v>
      </c>
      <c r="E5" s="48">
        <v>9.0299999999999994</v>
      </c>
      <c r="F5" s="48">
        <v>9.02</v>
      </c>
      <c r="G5" s="49">
        <v>9.02</v>
      </c>
    </row>
    <row r="6" spans="2:7">
      <c r="B6" s="47">
        <v>9.01</v>
      </c>
      <c r="C6" s="48">
        <v>2.86</v>
      </c>
      <c r="D6" s="48">
        <v>7.05</v>
      </c>
      <c r="E6" s="48">
        <v>9.01</v>
      </c>
      <c r="F6" s="48">
        <v>4.6100000000000003</v>
      </c>
      <c r="G6" s="49">
        <v>9.02</v>
      </c>
    </row>
    <row r="7" spans="2:7">
      <c r="B7" s="47">
        <v>9.02</v>
      </c>
      <c r="C7" s="48">
        <v>9.01</v>
      </c>
      <c r="D7" s="48">
        <v>5.63</v>
      </c>
      <c r="E7" s="48">
        <v>9.01</v>
      </c>
      <c r="F7" s="48">
        <v>3.9</v>
      </c>
      <c r="G7" s="49">
        <v>9.02</v>
      </c>
    </row>
    <row r="8" spans="2:7">
      <c r="B8" s="47">
        <v>6.24</v>
      </c>
      <c r="C8" s="48">
        <v>9.01</v>
      </c>
      <c r="D8" s="48">
        <v>7.07</v>
      </c>
      <c r="E8" s="48">
        <v>9</v>
      </c>
      <c r="F8" s="48">
        <v>4.09</v>
      </c>
      <c r="G8" s="49">
        <v>9.0299999999999994</v>
      </c>
    </row>
    <row r="9" spans="2:7">
      <c r="B9" s="47">
        <v>9.01</v>
      </c>
      <c r="C9" s="48">
        <v>9.02</v>
      </c>
      <c r="D9" s="48">
        <v>9.0299999999999994</v>
      </c>
      <c r="E9" s="48">
        <v>2.79</v>
      </c>
      <c r="F9" s="48">
        <v>2.0699999999999998</v>
      </c>
      <c r="G9" s="49">
        <v>9.02</v>
      </c>
    </row>
    <row r="10" spans="2:7">
      <c r="B10" s="47">
        <v>9.01</v>
      </c>
      <c r="C10" s="48">
        <v>5.53</v>
      </c>
      <c r="D10" s="48">
        <v>5.66</v>
      </c>
      <c r="E10" s="48">
        <v>3.56</v>
      </c>
      <c r="F10" s="48">
        <v>9.01</v>
      </c>
      <c r="G10" s="49">
        <v>1.45</v>
      </c>
    </row>
    <row r="11" spans="2:7">
      <c r="B11" s="47">
        <v>9</v>
      </c>
      <c r="C11" s="48">
        <v>9</v>
      </c>
      <c r="D11" s="48">
        <v>2.23</v>
      </c>
      <c r="E11" s="48">
        <v>9.01</v>
      </c>
      <c r="F11" s="48">
        <v>8.59</v>
      </c>
      <c r="G11" s="49">
        <v>9.01</v>
      </c>
    </row>
    <row r="12" spans="2:7">
      <c r="B12" s="47">
        <v>4.8099999999999996</v>
      </c>
      <c r="C12" s="48">
        <v>9</v>
      </c>
      <c r="D12" s="48">
        <v>7.38</v>
      </c>
      <c r="E12" s="48">
        <v>8.23</v>
      </c>
      <c r="F12" s="48">
        <v>4.3</v>
      </c>
      <c r="G12" s="49">
        <v>9.01</v>
      </c>
    </row>
    <row r="13" spans="2:7">
      <c r="B13" s="47">
        <v>9.02</v>
      </c>
      <c r="C13" s="48">
        <v>9.02</v>
      </c>
      <c r="D13" s="48">
        <v>3.6</v>
      </c>
      <c r="E13" s="48">
        <v>9.0299999999999994</v>
      </c>
      <c r="F13" s="48">
        <v>9.01</v>
      </c>
      <c r="G13" s="49">
        <v>9.01</v>
      </c>
    </row>
    <row r="14" spans="2:7">
      <c r="B14" s="47">
        <v>9.02</v>
      </c>
      <c r="C14" s="48">
        <v>9</v>
      </c>
      <c r="D14" s="48">
        <v>9.02</v>
      </c>
      <c r="E14" s="48">
        <v>9.0299999999999994</v>
      </c>
      <c r="F14" s="48">
        <v>9.0299999999999994</v>
      </c>
      <c r="G14" s="49">
        <v>9.02</v>
      </c>
    </row>
    <row r="15" spans="2:7">
      <c r="B15" s="47">
        <v>8.67</v>
      </c>
      <c r="C15" s="48">
        <v>9.01</v>
      </c>
      <c r="D15" s="48">
        <v>0.81</v>
      </c>
      <c r="E15" s="48">
        <v>9.02</v>
      </c>
      <c r="F15" s="48">
        <v>9.01</v>
      </c>
      <c r="G15" s="49">
        <v>9.02</v>
      </c>
    </row>
    <row r="16" spans="2:7">
      <c r="B16" s="47">
        <v>5.84</v>
      </c>
      <c r="C16" s="48">
        <v>9</v>
      </c>
      <c r="D16" s="48">
        <v>8.27</v>
      </c>
      <c r="E16" s="48">
        <v>9.02</v>
      </c>
      <c r="F16" s="48">
        <v>9</v>
      </c>
      <c r="G16" s="49">
        <v>9.01</v>
      </c>
    </row>
    <row r="17" spans="2:7">
      <c r="B17" s="47">
        <v>9.02</v>
      </c>
      <c r="C17" s="48">
        <v>9.01</v>
      </c>
      <c r="D17" s="48">
        <v>9</v>
      </c>
      <c r="E17" s="48">
        <v>1.87</v>
      </c>
      <c r="F17" s="48">
        <v>6.83</v>
      </c>
      <c r="G17" s="49">
        <v>9</v>
      </c>
    </row>
    <row r="18" spans="2:7">
      <c r="B18" s="47">
        <v>9.02</v>
      </c>
      <c r="C18" s="48">
        <v>9.01</v>
      </c>
      <c r="D18" s="48">
        <v>5.92</v>
      </c>
      <c r="E18" s="48">
        <v>3.11</v>
      </c>
      <c r="F18" s="48">
        <v>4.51</v>
      </c>
      <c r="G18" s="49">
        <v>9</v>
      </c>
    </row>
    <row r="19" spans="2:7">
      <c r="B19" s="47">
        <v>9</v>
      </c>
      <c r="C19" s="48">
        <v>9.01</v>
      </c>
      <c r="D19" s="48">
        <v>7.75</v>
      </c>
      <c r="E19" s="48">
        <v>5.42</v>
      </c>
      <c r="F19" s="48">
        <v>9</v>
      </c>
      <c r="G19" s="49">
        <v>9.01</v>
      </c>
    </row>
    <row r="20" spans="2:7">
      <c r="B20" s="47">
        <v>9.01</v>
      </c>
      <c r="C20" s="48">
        <v>9.01</v>
      </c>
      <c r="D20" s="48">
        <v>9</v>
      </c>
      <c r="E20" s="48">
        <v>9</v>
      </c>
      <c r="F20" s="48">
        <v>9</v>
      </c>
      <c r="G20" s="49">
        <v>9.02</v>
      </c>
    </row>
    <row r="21" spans="2:7">
      <c r="B21" s="47">
        <v>9</v>
      </c>
      <c r="C21" s="48">
        <v>9.01</v>
      </c>
      <c r="D21" s="48">
        <v>9</v>
      </c>
      <c r="E21" s="48">
        <v>1.58</v>
      </c>
      <c r="F21" s="48">
        <v>4.17</v>
      </c>
      <c r="G21" s="49">
        <v>9</v>
      </c>
    </row>
    <row r="22" spans="2:7">
      <c r="B22" s="47">
        <v>9.02</v>
      </c>
      <c r="C22" s="48">
        <v>9.01</v>
      </c>
      <c r="D22" s="48">
        <v>9.01</v>
      </c>
      <c r="E22" s="48">
        <v>9.02</v>
      </c>
      <c r="F22" s="48">
        <v>6.17</v>
      </c>
      <c r="G22" s="49">
        <v>9.01</v>
      </c>
    </row>
    <row r="23" spans="2:7">
      <c r="B23" s="47">
        <v>6.09</v>
      </c>
      <c r="C23" s="48">
        <v>9.02</v>
      </c>
      <c r="D23" s="48">
        <v>7.8</v>
      </c>
      <c r="E23" s="48">
        <v>7.99</v>
      </c>
      <c r="F23" s="48">
        <v>9.01</v>
      </c>
      <c r="G23" s="49">
        <v>9</v>
      </c>
    </row>
    <row r="24" spans="2:7">
      <c r="B24" s="47">
        <v>9.02</v>
      </c>
      <c r="C24" s="48">
        <v>4.83</v>
      </c>
      <c r="D24" s="48">
        <v>8.59</v>
      </c>
      <c r="E24" s="48">
        <v>7.9</v>
      </c>
      <c r="F24" s="48">
        <v>9.01</v>
      </c>
      <c r="G24" s="49">
        <v>9.02</v>
      </c>
    </row>
    <row r="25" spans="2:7">
      <c r="B25" s="47">
        <v>9.02</v>
      </c>
      <c r="C25" s="48">
        <v>9.01</v>
      </c>
      <c r="D25" s="48">
        <v>9.02</v>
      </c>
      <c r="E25" s="48">
        <v>9.01</v>
      </c>
      <c r="F25" s="48">
        <v>9</v>
      </c>
      <c r="G25" s="49">
        <v>9.01</v>
      </c>
    </row>
    <row r="26" spans="2:7">
      <c r="B26" s="47">
        <v>9.02</v>
      </c>
      <c r="C26" s="48">
        <v>9.01</v>
      </c>
      <c r="D26" s="48">
        <v>1.81</v>
      </c>
      <c r="E26" s="48">
        <v>9.02</v>
      </c>
      <c r="F26" s="48">
        <v>9.01</v>
      </c>
      <c r="G26" s="49">
        <v>9.02</v>
      </c>
    </row>
    <row r="27" spans="2:7">
      <c r="B27" s="47">
        <v>9</v>
      </c>
      <c r="C27" s="48">
        <v>9.02</v>
      </c>
      <c r="D27" s="48">
        <v>9.02</v>
      </c>
      <c r="E27" s="48">
        <v>6.71</v>
      </c>
      <c r="F27" s="48">
        <v>9.0299999999999994</v>
      </c>
      <c r="G27" s="49">
        <v>8.61</v>
      </c>
    </row>
    <row r="28" spans="2:7">
      <c r="B28" s="47">
        <v>9.01</v>
      </c>
      <c r="C28" s="48">
        <v>9.02</v>
      </c>
      <c r="D28" s="48">
        <v>7.83</v>
      </c>
      <c r="E28" s="48">
        <v>9.01</v>
      </c>
      <c r="F28" s="48">
        <v>9.02</v>
      </c>
      <c r="G28" s="49">
        <v>8.25</v>
      </c>
    </row>
    <row r="29" spans="2:7">
      <c r="B29" s="47">
        <v>9.02</v>
      </c>
      <c r="C29" s="48">
        <v>9.01</v>
      </c>
      <c r="D29" s="48">
        <v>9</v>
      </c>
      <c r="E29" s="48">
        <v>9.01</v>
      </c>
      <c r="F29" s="48">
        <v>9.01</v>
      </c>
      <c r="G29" s="49">
        <v>9.01</v>
      </c>
    </row>
    <row r="30" spans="2:7">
      <c r="B30" s="47">
        <v>9</v>
      </c>
      <c r="C30" s="48">
        <v>9.01</v>
      </c>
      <c r="D30" s="48">
        <v>5.88</v>
      </c>
      <c r="E30" s="48">
        <v>9.02</v>
      </c>
      <c r="F30" s="48">
        <v>9</v>
      </c>
      <c r="G30" s="49">
        <v>9.01</v>
      </c>
    </row>
    <row r="31" spans="2:7">
      <c r="B31" s="47">
        <v>9</v>
      </c>
      <c r="C31" s="48">
        <v>9.01</v>
      </c>
      <c r="D31" s="48">
        <v>5.81</v>
      </c>
      <c r="E31" s="48">
        <v>9</v>
      </c>
      <c r="F31" s="48">
        <v>8.06</v>
      </c>
      <c r="G31" s="49">
        <v>6.95</v>
      </c>
    </row>
    <row r="32" spans="2:7">
      <c r="B32" s="47">
        <v>9.01</v>
      </c>
      <c r="C32" s="48">
        <v>4.57</v>
      </c>
      <c r="D32" s="48">
        <v>4.6100000000000003</v>
      </c>
      <c r="E32" s="48">
        <v>9.02</v>
      </c>
      <c r="F32" s="48">
        <v>4.5</v>
      </c>
      <c r="G32" s="49">
        <v>9</v>
      </c>
    </row>
    <row r="33" spans="2:7">
      <c r="B33" s="47">
        <v>9.01</v>
      </c>
      <c r="C33" s="48">
        <v>4.03</v>
      </c>
      <c r="D33" s="48">
        <v>5.64</v>
      </c>
      <c r="E33" s="48">
        <v>9.02</v>
      </c>
      <c r="F33" s="48">
        <v>7.44</v>
      </c>
      <c r="G33" s="49">
        <v>9</v>
      </c>
    </row>
    <row r="34" spans="2:7">
      <c r="B34" s="47">
        <v>9.01</v>
      </c>
      <c r="C34" s="48">
        <v>9.02</v>
      </c>
      <c r="D34" s="48">
        <v>6.28</v>
      </c>
      <c r="E34" s="48">
        <v>9.01</v>
      </c>
      <c r="F34" s="48">
        <v>9.02</v>
      </c>
      <c r="G34" s="49">
        <v>9</v>
      </c>
    </row>
    <row r="35" spans="2:7">
      <c r="B35" s="47">
        <v>3.93</v>
      </c>
      <c r="C35" s="48">
        <v>3.4</v>
      </c>
      <c r="D35" s="48">
        <v>5.41</v>
      </c>
      <c r="E35" s="48">
        <v>9.01</v>
      </c>
      <c r="F35" s="48">
        <v>7.14</v>
      </c>
      <c r="G35" s="49">
        <v>9.02</v>
      </c>
    </row>
    <row r="36" spans="2:7">
      <c r="B36" s="47">
        <v>9.0299999999999994</v>
      </c>
      <c r="C36" s="48">
        <v>6.02</v>
      </c>
      <c r="D36" s="48">
        <v>8.8800000000000008</v>
      </c>
      <c r="E36" s="48">
        <v>4.29</v>
      </c>
      <c r="F36" s="48">
        <v>9.01</v>
      </c>
      <c r="G36" s="49">
        <v>8.31</v>
      </c>
    </row>
    <row r="37" spans="2:7">
      <c r="B37" s="47">
        <v>9.0299999999999994</v>
      </c>
      <c r="C37" s="48">
        <v>9.02</v>
      </c>
      <c r="D37" s="48">
        <v>8.0500000000000007</v>
      </c>
      <c r="E37" s="48">
        <v>7.2</v>
      </c>
      <c r="F37" s="48">
        <v>9.01</v>
      </c>
      <c r="G37" s="49">
        <v>9</v>
      </c>
    </row>
    <row r="38" spans="2:7">
      <c r="B38" s="47">
        <v>9.02</v>
      </c>
      <c r="C38" s="48">
        <v>9</v>
      </c>
      <c r="D38" s="48">
        <v>5.8</v>
      </c>
      <c r="E38" s="48">
        <v>9.02</v>
      </c>
      <c r="F38" s="48">
        <v>9.01</v>
      </c>
      <c r="G38" s="49">
        <v>9.01</v>
      </c>
    </row>
    <row r="39" spans="2:7">
      <c r="B39" s="47">
        <v>9.01</v>
      </c>
      <c r="C39" s="48">
        <v>9.01</v>
      </c>
      <c r="D39" s="48">
        <v>5.42</v>
      </c>
      <c r="E39" s="48">
        <v>9.0299999999999994</v>
      </c>
      <c r="F39" s="48">
        <v>2.67</v>
      </c>
      <c r="G39" s="49">
        <v>3.36</v>
      </c>
    </row>
    <row r="40" spans="2:7">
      <c r="B40" s="47">
        <v>9.01</v>
      </c>
      <c r="C40" s="48">
        <v>9.02</v>
      </c>
      <c r="D40" s="48">
        <v>9.02</v>
      </c>
      <c r="E40" s="48">
        <v>9</v>
      </c>
      <c r="F40" s="48">
        <v>9.01</v>
      </c>
      <c r="G40" s="49">
        <v>9.01</v>
      </c>
    </row>
    <row r="41" spans="2:7">
      <c r="B41" s="47">
        <v>9</v>
      </c>
      <c r="C41" s="48">
        <v>9.02</v>
      </c>
      <c r="D41" s="48">
        <v>5.49</v>
      </c>
      <c r="E41" s="48">
        <v>9.0399999999999991</v>
      </c>
      <c r="F41" s="48">
        <v>9.02</v>
      </c>
      <c r="G41" s="49">
        <v>9.01</v>
      </c>
    </row>
    <row r="42" spans="2:7">
      <c r="B42" s="47">
        <v>9</v>
      </c>
      <c r="C42" s="48">
        <v>9</v>
      </c>
      <c r="D42" s="48">
        <v>9.01</v>
      </c>
      <c r="E42" s="48">
        <v>8.65</v>
      </c>
      <c r="F42" s="48">
        <v>2.3199999999999998</v>
      </c>
      <c r="G42" s="49">
        <v>9.02</v>
      </c>
    </row>
    <row r="43" spans="2:7">
      <c r="B43" s="47">
        <v>9.02</v>
      </c>
      <c r="C43" s="48">
        <v>9.02</v>
      </c>
      <c r="D43" s="48">
        <v>9.0299999999999994</v>
      </c>
      <c r="E43" s="48">
        <v>9.01</v>
      </c>
      <c r="F43" s="48">
        <v>7.95</v>
      </c>
      <c r="G43" s="49">
        <v>9</v>
      </c>
    </row>
    <row r="44" spans="2:7">
      <c r="B44" s="47">
        <v>5.77</v>
      </c>
      <c r="C44" s="48">
        <v>9.01</v>
      </c>
      <c r="D44" s="48">
        <v>9.01</v>
      </c>
      <c r="E44" s="48">
        <v>8.31</v>
      </c>
      <c r="F44" s="48">
        <v>4.29</v>
      </c>
      <c r="G44" s="49">
        <v>7.06</v>
      </c>
    </row>
    <row r="45" spans="2:7">
      <c r="B45" s="47">
        <v>9.01</v>
      </c>
      <c r="C45" s="48">
        <v>9.01</v>
      </c>
      <c r="D45" s="48">
        <v>9</v>
      </c>
      <c r="E45" s="48">
        <v>3.74</v>
      </c>
      <c r="F45" s="48">
        <v>9.0299999999999994</v>
      </c>
      <c r="G45" s="49">
        <v>9.01</v>
      </c>
    </row>
    <row r="46" spans="2:7">
      <c r="B46" s="47">
        <v>9.01</v>
      </c>
      <c r="C46" s="48">
        <v>5.13</v>
      </c>
      <c r="D46" s="48">
        <v>5.71</v>
      </c>
      <c r="E46" s="48">
        <v>9</v>
      </c>
      <c r="F46" s="48">
        <v>9.02</v>
      </c>
      <c r="G46" s="49">
        <v>5.6</v>
      </c>
    </row>
    <row r="47" spans="2:7">
      <c r="B47" s="47">
        <v>9.01</v>
      </c>
      <c r="C47" s="48">
        <v>9.02</v>
      </c>
      <c r="D47" s="48">
        <v>9.02</v>
      </c>
      <c r="E47" s="48">
        <v>9.01</v>
      </c>
      <c r="F47" s="48">
        <v>9.02</v>
      </c>
      <c r="G47" s="49">
        <v>9.01</v>
      </c>
    </row>
    <row r="48" spans="2:7">
      <c r="B48" s="47">
        <v>9.02</v>
      </c>
      <c r="C48" s="48">
        <v>9</v>
      </c>
      <c r="D48" s="48">
        <v>9.0299999999999994</v>
      </c>
      <c r="E48" s="48">
        <v>9.01</v>
      </c>
      <c r="F48" s="48">
        <v>8.4499999999999993</v>
      </c>
      <c r="G48" s="49">
        <v>9.0299999999999994</v>
      </c>
    </row>
    <row r="49" spans="2:7">
      <c r="B49" s="47">
        <v>9.02</v>
      </c>
      <c r="C49" s="48">
        <v>9.01</v>
      </c>
      <c r="D49" s="48">
        <v>6.79</v>
      </c>
      <c r="E49" s="48">
        <v>9.01</v>
      </c>
      <c r="F49" s="48">
        <v>8.2899999999999991</v>
      </c>
      <c r="G49" s="49">
        <v>2.58</v>
      </c>
    </row>
    <row r="50" spans="2:7">
      <c r="B50" s="47">
        <v>9.02</v>
      </c>
      <c r="C50" s="48">
        <v>9.01</v>
      </c>
      <c r="D50" s="48">
        <v>8.6199999999999992</v>
      </c>
      <c r="E50" s="48">
        <v>8.5399999999999991</v>
      </c>
      <c r="F50" s="48">
        <v>9.02</v>
      </c>
      <c r="G50" s="49">
        <v>9.02</v>
      </c>
    </row>
    <row r="51" spans="2:7">
      <c r="B51" s="47">
        <v>9</v>
      </c>
      <c r="C51" s="48">
        <v>9.02</v>
      </c>
      <c r="D51" s="48">
        <v>9.01</v>
      </c>
      <c r="E51" s="48">
        <v>3.44</v>
      </c>
      <c r="F51" s="48">
        <v>9</v>
      </c>
      <c r="G51" s="49">
        <v>7.54</v>
      </c>
    </row>
    <row r="52" spans="2:7">
      <c r="B52" s="47">
        <v>9.01</v>
      </c>
      <c r="C52" s="48">
        <v>9</v>
      </c>
      <c r="D52" s="48">
        <v>5.85</v>
      </c>
      <c r="E52" s="48">
        <v>5.45</v>
      </c>
      <c r="F52" s="48">
        <v>9.02</v>
      </c>
      <c r="G52" s="49">
        <v>9.0299999999999994</v>
      </c>
    </row>
    <row r="53" spans="2:7">
      <c r="B53" s="47">
        <v>3.19</v>
      </c>
      <c r="C53" s="48">
        <v>9.02</v>
      </c>
      <c r="D53" s="48">
        <v>7.2</v>
      </c>
      <c r="E53" s="48">
        <v>9.01</v>
      </c>
      <c r="F53" s="48">
        <v>9.02</v>
      </c>
      <c r="G53" s="49">
        <v>9.0299999999999994</v>
      </c>
    </row>
    <row r="54" spans="2:7">
      <c r="B54" s="47">
        <v>9.01</v>
      </c>
      <c r="C54" s="48">
        <v>9.01</v>
      </c>
      <c r="D54" s="48">
        <v>9.02</v>
      </c>
      <c r="E54" s="48">
        <v>9</v>
      </c>
      <c r="F54" s="48">
        <v>9.01</v>
      </c>
      <c r="G54" s="49">
        <v>9.02</v>
      </c>
    </row>
    <row r="55" spans="2:7">
      <c r="B55" s="47">
        <v>9</v>
      </c>
      <c r="C55" s="48">
        <v>9.01</v>
      </c>
      <c r="D55" s="48">
        <v>5.82</v>
      </c>
      <c r="E55" s="48">
        <v>9.02</v>
      </c>
      <c r="F55" s="48">
        <v>9.02</v>
      </c>
      <c r="G55" s="49">
        <v>9.02</v>
      </c>
    </row>
    <row r="56" spans="2:7">
      <c r="B56" s="47">
        <v>9</v>
      </c>
      <c r="C56" s="48">
        <v>7.62</v>
      </c>
      <c r="D56" s="48">
        <v>7.66</v>
      </c>
      <c r="E56" s="48">
        <v>9.01</v>
      </c>
      <c r="F56" s="48">
        <v>9.02</v>
      </c>
      <c r="G56" s="49">
        <v>9.02</v>
      </c>
    </row>
    <row r="57" spans="2:7">
      <c r="B57" s="47">
        <v>9</v>
      </c>
      <c r="C57" s="48">
        <v>9.01</v>
      </c>
      <c r="D57" s="48">
        <v>7.57</v>
      </c>
      <c r="E57" s="48">
        <v>7.61</v>
      </c>
      <c r="F57" s="48">
        <v>9.01</v>
      </c>
      <c r="G57" s="49">
        <v>1.99</v>
      </c>
    </row>
    <row r="58" spans="2:7">
      <c r="B58" s="47">
        <v>9.01</v>
      </c>
      <c r="C58" s="48">
        <v>9.01</v>
      </c>
      <c r="D58" s="48">
        <v>8</v>
      </c>
      <c r="E58" s="48">
        <v>3.86</v>
      </c>
      <c r="F58" s="48">
        <v>9.0299999999999994</v>
      </c>
      <c r="G58" s="49">
        <v>9.01</v>
      </c>
    </row>
    <row r="59" spans="2:7">
      <c r="B59" s="47">
        <v>9.01</v>
      </c>
      <c r="C59" s="48">
        <v>6.92</v>
      </c>
      <c r="D59" s="48">
        <v>8.0399999999999991</v>
      </c>
      <c r="E59" s="48">
        <v>8.84</v>
      </c>
      <c r="F59" s="48">
        <v>5.99</v>
      </c>
      <c r="G59" s="49">
        <v>9.01</v>
      </c>
    </row>
    <row r="60" spans="2:7">
      <c r="B60" s="47">
        <v>9.0299999999999994</v>
      </c>
      <c r="C60" s="48">
        <v>9.01</v>
      </c>
      <c r="D60" s="48">
        <v>6.23</v>
      </c>
      <c r="E60" s="48">
        <v>7.11</v>
      </c>
      <c r="F60" s="48">
        <v>7.74</v>
      </c>
      <c r="G60" s="49">
        <v>9.01</v>
      </c>
    </row>
    <row r="61" spans="2:7">
      <c r="B61" s="47">
        <v>9.0299999999999994</v>
      </c>
      <c r="C61" s="48">
        <v>9.01</v>
      </c>
      <c r="D61" s="48">
        <v>9.01</v>
      </c>
      <c r="E61" s="48">
        <v>3.85</v>
      </c>
      <c r="F61" s="48">
        <v>3.5</v>
      </c>
      <c r="G61" s="49">
        <v>9</v>
      </c>
    </row>
    <row r="62" spans="2:7">
      <c r="B62" s="47">
        <v>9.01</v>
      </c>
      <c r="C62" s="48">
        <v>9</v>
      </c>
      <c r="D62" s="48">
        <v>8.02</v>
      </c>
      <c r="E62" s="48">
        <v>9</v>
      </c>
      <c r="F62" s="48">
        <v>6.99</v>
      </c>
      <c r="G62" s="49">
        <v>9</v>
      </c>
    </row>
    <row r="63" spans="2:7">
      <c r="B63" s="47">
        <v>9.01</v>
      </c>
      <c r="C63" s="48">
        <v>9.01</v>
      </c>
      <c r="D63" s="48">
        <v>8.86</v>
      </c>
      <c r="E63" s="48">
        <v>8.49</v>
      </c>
      <c r="F63" s="48">
        <v>9.02</v>
      </c>
      <c r="G63" s="49">
        <v>9.01</v>
      </c>
    </row>
    <row r="64" spans="2:7">
      <c r="B64" s="47">
        <v>2.21</v>
      </c>
      <c r="C64" s="48">
        <v>8.18</v>
      </c>
      <c r="D64" s="48">
        <v>4.72</v>
      </c>
      <c r="E64" s="48">
        <v>9.01</v>
      </c>
      <c r="F64" s="48">
        <v>9.01</v>
      </c>
      <c r="G64" s="49">
        <v>9.01</v>
      </c>
    </row>
    <row r="65" spans="2:7">
      <c r="B65" s="47">
        <v>9.02</v>
      </c>
      <c r="C65" s="48">
        <v>9.01</v>
      </c>
      <c r="D65" s="48">
        <v>7.34</v>
      </c>
      <c r="E65" s="48">
        <v>3.08</v>
      </c>
      <c r="F65" s="48">
        <v>9</v>
      </c>
      <c r="G65" s="49">
        <v>9.02</v>
      </c>
    </row>
    <row r="66" spans="2:7">
      <c r="B66" s="47">
        <v>9.01</v>
      </c>
      <c r="C66" s="48">
        <v>9.01</v>
      </c>
      <c r="D66" s="48">
        <v>5.44</v>
      </c>
      <c r="E66" s="48">
        <v>7.26</v>
      </c>
      <c r="F66" s="48">
        <v>9</v>
      </c>
      <c r="G66" s="49">
        <v>7.83</v>
      </c>
    </row>
    <row r="67" spans="2:7">
      <c r="B67" s="47">
        <v>9.01</v>
      </c>
      <c r="C67" s="48">
        <v>1.48</v>
      </c>
      <c r="D67" s="48">
        <v>9.0299999999999994</v>
      </c>
      <c r="E67" s="48">
        <v>8.73</v>
      </c>
      <c r="F67" s="48">
        <v>6.84</v>
      </c>
      <c r="G67" s="49">
        <v>9.0299999999999994</v>
      </c>
    </row>
    <row r="68" spans="2:7">
      <c r="B68" s="47">
        <v>1.81</v>
      </c>
      <c r="C68" s="48">
        <v>9</v>
      </c>
      <c r="D68" s="48">
        <v>6.22</v>
      </c>
      <c r="E68" s="48">
        <v>4.3099999999999996</v>
      </c>
      <c r="F68" s="48">
        <v>9</v>
      </c>
      <c r="G68" s="49">
        <v>9.01</v>
      </c>
    </row>
    <row r="69" spans="2:7">
      <c r="B69" s="47">
        <v>9</v>
      </c>
      <c r="C69" s="48">
        <v>9.02</v>
      </c>
      <c r="D69" s="48">
        <v>7.45</v>
      </c>
      <c r="E69" s="48">
        <v>9.01</v>
      </c>
      <c r="F69" s="48">
        <v>9.01</v>
      </c>
      <c r="G69" s="49">
        <v>9.01</v>
      </c>
    </row>
    <row r="70" spans="2:7">
      <c r="B70" s="47">
        <v>9.01</v>
      </c>
      <c r="C70" s="48">
        <v>9.01</v>
      </c>
      <c r="D70" s="48">
        <v>4.2300000000000004</v>
      </c>
      <c r="E70" s="48">
        <v>3.81</v>
      </c>
      <c r="F70" s="48">
        <v>4.67</v>
      </c>
      <c r="G70" s="49">
        <v>4.83</v>
      </c>
    </row>
    <row r="71" spans="2:7">
      <c r="B71" s="47">
        <v>9</v>
      </c>
      <c r="C71" s="48">
        <v>9.01</v>
      </c>
      <c r="D71" s="48">
        <v>6.24</v>
      </c>
      <c r="E71" s="48">
        <v>9.01</v>
      </c>
      <c r="F71" s="48">
        <v>9.01</v>
      </c>
      <c r="G71" s="49">
        <v>9.01</v>
      </c>
    </row>
    <row r="72" spans="2:7">
      <c r="B72" s="47">
        <v>9.0299999999999994</v>
      </c>
      <c r="C72" s="48">
        <v>9.0299999999999994</v>
      </c>
      <c r="D72" s="48">
        <v>9.02</v>
      </c>
      <c r="E72" s="48">
        <v>3.28</v>
      </c>
      <c r="F72" s="48">
        <v>9.02</v>
      </c>
      <c r="G72" s="49">
        <v>9.02</v>
      </c>
    </row>
    <row r="73" spans="2:7">
      <c r="B73" s="47">
        <v>9.02</v>
      </c>
      <c r="C73" s="48">
        <v>9.01</v>
      </c>
      <c r="D73" s="48">
        <v>8.85</v>
      </c>
      <c r="E73" s="48">
        <v>9</v>
      </c>
      <c r="F73" s="48">
        <v>9.01</v>
      </c>
      <c r="G73" s="49">
        <v>9.02</v>
      </c>
    </row>
    <row r="74" spans="2:7">
      <c r="B74" s="47">
        <v>9.01</v>
      </c>
      <c r="C74" s="48">
        <v>9.02</v>
      </c>
      <c r="D74" s="48">
        <v>9.0299999999999994</v>
      </c>
      <c r="E74" s="48">
        <v>3.76</v>
      </c>
      <c r="F74" s="48">
        <v>6.6</v>
      </c>
      <c r="G74" s="49">
        <v>9.02</v>
      </c>
    </row>
    <row r="75" spans="2:7">
      <c r="B75" s="47">
        <v>9.02</v>
      </c>
      <c r="C75" s="48">
        <v>9.01</v>
      </c>
      <c r="D75" s="48">
        <v>8.1</v>
      </c>
      <c r="E75" s="48">
        <v>9.0299999999999994</v>
      </c>
      <c r="F75" s="48">
        <v>5.82</v>
      </c>
      <c r="G75" s="49">
        <v>9</v>
      </c>
    </row>
    <row r="76" spans="2:7">
      <c r="B76" s="47">
        <v>9.02</v>
      </c>
      <c r="C76" s="48">
        <v>9.0299999999999994</v>
      </c>
      <c r="D76" s="48">
        <v>3</v>
      </c>
      <c r="E76" s="48">
        <v>9.0299999999999994</v>
      </c>
      <c r="F76" s="48">
        <v>9</v>
      </c>
      <c r="G76" s="49">
        <v>9</v>
      </c>
    </row>
    <row r="77" spans="2:7">
      <c r="B77" s="47">
        <v>9.01</v>
      </c>
      <c r="C77" s="48">
        <v>9.02</v>
      </c>
      <c r="D77" s="48">
        <v>5.68</v>
      </c>
      <c r="E77" s="48">
        <v>8.67</v>
      </c>
      <c r="F77" s="48">
        <v>9.01</v>
      </c>
      <c r="G77" s="49">
        <v>9.0299999999999994</v>
      </c>
    </row>
    <row r="78" spans="2:7">
      <c r="B78" s="47">
        <v>9.01</v>
      </c>
      <c r="C78" s="48">
        <v>9.01</v>
      </c>
      <c r="D78" s="48">
        <v>5.91</v>
      </c>
      <c r="E78" s="48">
        <v>9.02</v>
      </c>
      <c r="F78" s="48">
        <v>7.58</v>
      </c>
      <c r="G78" s="49">
        <v>9.01</v>
      </c>
    </row>
    <row r="79" spans="2:7">
      <c r="B79" s="47">
        <v>9.02</v>
      </c>
      <c r="C79" s="48">
        <v>9</v>
      </c>
      <c r="D79" s="48">
        <v>6.59</v>
      </c>
      <c r="E79" s="48">
        <v>9.0299999999999994</v>
      </c>
      <c r="F79" s="48">
        <v>4.72</v>
      </c>
      <c r="G79" s="49">
        <v>9.01</v>
      </c>
    </row>
    <row r="80" spans="2:7">
      <c r="B80" s="47">
        <v>9</v>
      </c>
      <c r="C80" s="48">
        <v>9.01</v>
      </c>
      <c r="D80" s="48">
        <v>5.35</v>
      </c>
      <c r="E80" s="48">
        <v>9</v>
      </c>
      <c r="F80" s="48">
        <v>7.92</v>
      </c>
      <c r="G80" s="49">
        <v>9.01</v>
      </c>
    </row>
    <row r="81" spans="2:7">
      <c r="B81" s="47">
        <v>9</v>
      </c>
      <c r="C81" s="48">
        <v>9.02</v>
      </c>
      <c r="D81" s="48">
        <v>8.36</v>
      </c>
      <c r="E81" s="48">
        <v>6.82</v>
      </c>
      <c r="F81" s="48">
        <v>9.02</v>
      </c>
      <c r="G81" s="49">
        <v>9.02</v>
      </c>
    </row>
    <row r="82" spans="2:7">
      <c r="B82" s="47">
        <v>9.01</v>
      </c>
      <c r="C82" s="48">
        <v>9.02</v>
      </c>
      <c r="D82" s="48">
        <v>8.75</v>
      </c>
      <c r="E82" s="48">
        <v>4.7300000000000004</v>
      </c>
      <c r="F82" s="48">
        <v>9.01</v>
      </c>
      <c r="G82" s="49">
        <v>9.02</v>
      </c>
    </row>
    <row r="83" spans="2:7">
      <c r="B83" s="47">
        <v>9.02</v>
      </c>
      <c r="C83" s="48">
        <v>9.02</v>
      </c>
      <c r="D83" s="48">
        <v>6.02</v>
      </c>
      <c r="E83" s="48">
        <v>9.02</v>
      </c>
      <c r="F83" s="48">
        <v>4.08</v>
      </c>
      <c r="G83" s="49">
        <v>9.01</v>
      </c>
    </row>
    <row r="84" spans="2:7">
      <c r="B84" s="47">
        <v>9.0299999999999994</v>
      </c>
      <c r="C84" s="48">
        <v>9.01</v>
      </c>
      <c r="D84" s="48">
        <v>2.4300000000000002</v>
      </c>
      <c r="E84" s="48">
        <v>7.29</v>
      </c>
      <c r="F84" s="48">
        <v>9.01</v>
      </c>
      <c r="G84" s="49">
        <v>5.39</v>
      </c>
    </row>
    <row r="85" spans="2:7">
      <c r="B85" s="47">
        <v>9.02</v>
      </c>
      <c r="C85" s="48">
        <v>9.01</v>
      </c>
      <c r="D85" s="48">
        <v>7.99</v>
      </c>
      <c r="E85" s="48">
        <v>8.9</v>
      </c>
      <c r="F85" s="48">
        <v>5.26</v>
      </c>
      <c r="G85" s="49">
        <v>9</v>
      </c>
    </row>
    <row r="86" spans="2:7">
      <c r="B86" s="47">
        <v>9.0299999999999994</v>
      </c>
      <c r="C86" s="48">
        <v>9.0299999999999994</v>
      </c>
      <c r="D86" s="48">
        <v>8.27</v>
      </c>
      <c r="E86" s="48">
        <v>9.01</v>
      </c>
      <c r="F86" s="48">
        <v>9.02</v>
      </c>
      <c r="G86" s="49">
        <v>9.01</v>
      </c>
    </row>
    <row r="87" spans="2:7">
      <c r="B87" s="47">
        <v>9.01</v>
      </c>
      <c r="C87" s="48">
        <v>9.0299999999999994</v>
      </c>
      <c r="D87" s="48">
        <v>8.14</v>
      </c>
      <c r="E87" s="48">
        <v>9.01</v>
      </c>
      <c r="F87" s="48">
        <v>3.07</v>
      </c>
      <c r="G87" s="49">
        <v>9.01</v>
      </c>
    </row>
    <row r="88" spans="2:7">
      <c r="B88" s="47">
        <v>9.02</v>
      </c>
      <c r="C88" s="48">
        <v>9.01</v>
      </c>
      <c r="D88" s="48">
        <v>6.91</v>
      </c>
      <c r="E88" s="48">
        <v>9</v>
      </c>
      <c r="F88" s="48">
        <v>6.94</v>
      </c>
      <c r="G88" s="49">
        <v>9</v>
      </c>
    </row>
    <row r="89" spans="2:7">
      <c r="B89" s="47">
        <v>9.02</v>
      </c>
      <c r="C89" s="48">
        <v>9.01</v>
      </c>
      <c r="D89" s="48">
        <v>4.28</v>
      </c>
      <c r="E89" s="48">
        <v>9.01</v>
      </c>
      <c r="F89" s="48">
        <v>9.02</v>
      </c>
      <c r="G89" s="49">
        <v>9.02</v>
      </c>
    </row>
    <row r="90" spans="2:7">
      <c r="B90" s="47">
        <v>7.87</v>
      </c>
      <c r="C90" s="48">
        <v>9.01</v>
      </c>
      <c r="D90" s="48">
        <v>5.54</v>
      </c>
      <c r="E90" s="48">
        <v>9.02</v>
      </c>
      <c r="F90" s="48">
        <v>7.61</v>
      </c>
      <c r="G90" s="49">
        <v>9.01</v>
      </c>
    </row>
    <row r="91" spans="2:7">
      <c r="B91" s="47">
        <v>9.01</v>
      </c>
      <c r="C91" s="48">
        <v>9.02</v>
      </c>
      <c r="D91" s="48">
        <v>8.26</v>
      </c>
      <c r="E91" s="48">
        <v>4.38</v>
      </c>
      <c r="F91" s="48">
        <v>3.47</v>
      </c>
      <c r="G91" s="49">
        <v>9</v>
      </c>
    </row>
    <row r="92" spans="2:7">
      <c r="B92" s="47">
        <v>9</v>
      </c>
      <c r="C92" s="48">
        <v>9.01</v>
      </c>
      <c r="D92" s="48">
        <v>6.55</v>
      </c>
      <c r="E92" s="48">
        <v>9</v>
      </c>
      <c r="F92" s="48">
        <v>6.14</v>
      </c>
      <c r="G92" s="49">
        <v>9.02</v>
      </c>
    </row>
    <row r="93" spans="2:7">
      <c r="B93" s="47">
        <v>9.02</v>
      </c>
      <c r="C93" s="48">
        <v>9</v>
      </c>
      <c r="D93" s="48">
        <v>9.01</v>
      </c>
      <c r="E93" s="48">
        <v>9</v>
      </c>
      <c r="F93" s="48">
        <v>9.01</v>
      </c>
      <c r="G93" s="49">
        <v>9</v>
      </c>
    </row>
    <row r="94" spans="2:7">
      <c r="B94" s="47">
        <v>9.01</v>
      </c>
      <c r="C94" s="48">
        <v>9.01</v>
      </c>
      <c r="D94" s="48">
        <v>6.35</v>
      </c>
      <c r="E94" s="48">
        <v>9</v>
      </c>
      <c r="F94" s="48">
        <v>7.82</v>
      </c>
      <c r="G94" s="49">
        <v>9</v>
      </c>
    </row>
    <row r="95" spans="2:7">
      <c r="B95" s="47">
        <v>9.01</v>
      </c>
      <c r="C95" s="48">
        <v>9.01</v>
      </c>
      <c r="D95" s="48">
        <v>9.01</v>
      </c>
      <c r="E95" s="48">
        <v>9.0299999999999994</v>
      </c>
      <c r="F95" s="48">
        <v>3.05</v>
      </c>
      <c r="G95" s="49">
        <v>9.0299999999999994</v>
      </c>
    </row>
    <row r="96" spans="2:7">
      <c r="B96" s="47">
        <v>9.02</v>
      </c>
      <c r="C96" s="48">
        <v>9.02</v>
      </c>
      <c r="D96" s="48">
        <v>6.32</v>
      </c>
      <c r="E96" s="48">
        <v>8.35</v>
      </c>
      <c r="F96" s="48">
        <v>9.01</v>
      </c>
      <c r="G96" s="49">
        <v>9.01</v>
      </c>
    </row>
    <row r="97" spans="2:10">
      <c r="B97" s="47">
        <v>9.01</v>
      </c>
      <c r="C97" s="48">
        <v>9</v>
      </c>
      <c r="D97" s="48">
        <v>6.3</v>
      </c>
      <c r="E97" s="48">
        <v>9.02</v>
      </c>
      <c r="F97" s="48">
        <v>9.01</v>
      </c>
      <c r="G97" s="49">
        <v>9</v>
      </c>
    </row>
    <row r="98" spans="2:10">
      <c r="B98" s="47">
        <v>9</v>
      </c>
      <c r="C98" s="48">
        <v>5.0199999999999996</v>
      </c>
      <c r="D98" s="48">
        <v>8.7200000000000006</v>
      </c>
      <c r="E98" s="48">
        <v>3.42</v>
      </c>
      <c r="F98" s="48">
        <v>9</v>
      </c>
      <c r="G98" s="49">
        <v>7.75</v>
      </c>
    </row>
    <row r="99" spans="2:10">
      <c r="B99" s="47">
        <v>6.18</v>
      </c>
      <c r="C99" s="48">
        <v>5.32</v>
      </c>
      <c r="D99" s="48">
        <v>7.73</v>
      </c>
      <c r="E99" s="48">
        <v>9</v>
      </c>
      <c r="F99" s="48">
        <v>5.54</v>
      </c>
      <c r="G99" s="49">
        <v>6.9</v>
      </c>
    </row>
    <row r="100" spans="2:10">
      <c r="B100" s="47">
        <v>9.01</v>
      </c>
      <c r="C100" s="48">
        <v>9.01</v>
      </c>
      <c r="D100" s="48">
        <v>8.48</v>
      </c>
      <c r="E100" s="48">
        <v>3.19</v>
      </c>
      <c r="F100" s="48">
        <v>9.0299999999999994</v>
      </c>
      <c r="G100" s="49">
        <v>9.01</v>
      </c>
    </row>
    <row r="101" spans="2:10">
      <c r="B101" s="47">
        <v>9.01</v>
      </c>
      <c r="C101" s="48">
        <v>9.01</v>
      </c>
      <c r="D101" s="48">
        <v>6.62</v>
      </c>
      <c r="E101" s="48">
        <v>5.05</v>
      </c>
      <c r="F101" s="48">
        <v>7.5</v>
      </c>
      <c r="G101" s="49">
        <v>9.01</v>
      </c>
    </row>
    <row r="102" spans="2:10">
      <c r="B102" s="50">
        <v>9.01</v>
      </c>
      <c r="C102" s="51">
        <v>9</v>
      </c>
      <c r="D102" s="51">
        <v>8.75</v>
      </c>
      <c r="E102" s="51">
        <v>2.5299999999999998</v>
      </c>
      <c r="F102" s="51">
        <v>9</v>
      </c>
      <c r="G102" s="52">
        <v>9.01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>
      <c r="B107" s="71" t="s">
        <v>19</v>
      </c>
      <c r="C107" s="79">
        <v>8.5573999999999995</v>
      </c>
      <c r="D107" s="79">
        <v>1.4252</v>
      </c>
      <c r="E107" s="79">
        <v>9.01</v>
      </c>
      <c r="F107" s="79">
        <v>8.2781000000000002</v>
      </c>
      <c r="G107" s="79">
        <v>8.8367000000000004</v>
      </c>
      <c r="H107" s="81">
        <v>1.81</v>
      </c>
      <c r="I107" s="81">
        <v>9.0299999999999994</v>
      </c>
      <c r="J107" s="72">
        <v>16.7</v>
      </c>
    </row>
    <row r="108" spans="2:10">
      <c r="B108" s="71" t="s">
        <v>20</v>
      </c>
      <c r="C108" s="79">
        <v>8.4591999999999992</v>
      </c>
      <c r="D108" s="79">
        <v>1.5250999999999999</v>
      </c>
      <c r="E108" s="79">
        <v>9.01</v>
      </c>
      <c r="F108" s="79">
        <v>8.1602999999999994</v>
      </c>
      <c r="G108" s="79">
        <v>8.7581000000000007</v>
      </c>
      <c r="H108" s="81">
        <v>1.48</v>
      </c>
      <c r="I108" s="81">
        <v>9.0299999999999994</v>
      </c>
      <c r="J108" s="72">
        <v>18</v>
      </c>
    </row>
    <row r="109" spans="2:10">
      <c r="B109" s="71" t="s">
        <v>3</v>
      </c>
      <c r="C109" s="79">
        <v>7.1524000000000001</v>
      </c>
      <c r="D109" s="79">
        <v>1.877</v>
      </c>
      <c r="E109" s="79">
        <v>7.6950000000000003</v>
      </c>
      <c r="F109" s="79">
        <v>6.7845000000000004</v>
      </c>
      <c r="G109" s="79">
        <v>7.5202999999999998</v>
      </c>
      <c r="H109" s="81">
        <v>0.81</v>
      </c>
      <c r="I109" s="81">
        <v>9.0299999999999994</v>
      </c>
      <c r="J109" s="72">
        <v>26.2</v>
      </c>
    </row>
    <row r="110" spans="2:10">
      <c r="B110" s="71" t="s">
        <v>21</v>
      </c>
      <c r="C110" s="79">
        <v>7.5673000000000004</v>
      </c>
      <c r="D110" s="79">
        <v>2.2528999999999999</v>
      </c>
      <c r="E110" s="79">
        <v>9</v>
      </c>
      <c r="F110" s="79">
        <v>7.1257000000000001</v>
      </c>
      <c r="G110" s="79">
        <v>8.0089000000000006</v>
      </c>
      <c r="H110" s="81">
        <v>1.58</v>
      </c>
      <c r="I110" s="81">
        <v>9.0399999999999991</v>
      </c>
      <c r="J110" s="72">
        <v>29.8</v>
      </c>
    </row>
    <row r="111" spans="2:10">
      <c r="B111" s="71" t="s">
        <v>22</v>
      </c>
      <c r="C111" s="79">
        <v>7.5735999999999999</v>
      </c>
      <c r="D111" s="79">
        <v>2.0697000000000001</v>
      </c>
      <c r="E111" s="79">
        <v>9</v>
      </c>
      <c r="F111" s="79">
        <v>7.1679000000000004</v>
      </c>
      <c r="G111" s="79">
        <v>7.9793000000000003</v>
      </c>
      <c r="H111" s="81">
        <v>2.0699999999999998</v>
      </c>
      <c r="I111" s="81">
        <v>9.0299999999999994</v>
      </c>
      <c r="J111" s="72">
        <v>27.3</v>
      </c>
    </row>
    <row r="112" spans="2:10">
      <c r="B112" s="73" t="s">
        <v>6</v>
      </c>
      <c r="C112" s="80">
        <v>8.5144000000000002</v>
      </c>
      <c r="D112" s="80">
        <v>1.4778</v>
      </c>
      <c r="E112" s="80">
        <v>9.01</v>
      </c>
      <c r="F112" s="80">
        <v>8.2247000000000003</v>
      </c>
      <c r="G112" s="80">
        <v>8.8041</v>
      </c>
      <c r="H112" s="82">
        <v>1.45</v>
      </c>
      <c r="I112" s="82">
        <v>9.0299999999999994</v>
      </c>
      <c r="J112" s="74">
        <v>17.399999999999999</v>
      </c>
    </row>
    <row r="113" spans="2:10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>
      <c r="B117" s="77">
        <v>9.6591000000000005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>
      <c r="B122" s="87">
        <v>12.0846</v>
      </c>
      <c r="C122" s="78">
        <v>5</v>
      </c>
      <c r="D122" s="78">
        <v>8</v>
      </c>
      <c r="E122" s="86">
        <v>2E-3</v>
      </c>
      <c r="F122" s="83" t="s">
        <v>33</v>
      </c>
      <c r="G122" s="66"/>
      <c r="H122" s="66"/>
      <c r="I122" s="66"/>
      <c r="J122" s="66"/>
    </row>
    <row r="123" spans="2:10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>
      <c r="B127" s="93" t="s">
        <v>19</v>
      </c>
      <c r="C127" s="95" t="s">
        <v>20</v>
      </c>
      <c r="D127" s="91">
        <v>9.8199999999999996E-2</v>
      </c>
      <c r="E127" s="91">
        <v>0.2087</v>
      </c>
      <c r="F127" s="91">
        <v>-0.3135</v>
      </c>
      <c r="G127" s="91">
        <v>0.50990000000000002</v>
      </c>
      <c r="H127" s="92">
        <v>0.63859999999999995</v>
      </c>
      <c r="I127" s="89" t="s">
        <v>40</v>
      </c>
      <c r="J127" s="66"/>
    </row>
    <row r="128" spans="2:10">
      <c r="B128" s="71" t="s">
        <v>19</v>
      </c>
      <c r="C128" s="96" t="s">
        <v>3</v>
      </c>
      <c r="D128" s="79">
        <v>1.405</v>
      </c>
      <c r="E128" s="79">
        <v>0.23569999999999999</v>
      </c>
      <c r="F128" s="79">
        <v>0.94</v>
      </c>
      <c r="G128" s="79">
        <v>1.87</v>
      </c>
      <c r="H128" s="88" t="s">
        <v>27</v>
      </c>
      <c r="I128" s="90" t="s">
        <v>41</v>
      </c>
      <c r="J128" s="66"/>
    </row>
    <row r="129" spans="2:10">
      <c r="B129" s="71" t="s">
        <v>19</v>
      </c>
      <c r="C129" s="96" t="s">
        <v>21</v>
      </c>
      <c r="D129" s="79">
        <v>0.99009999999999998</v>
      </c>
      <c r="E129" s="79">
        <v>0.2666</v>
      </c>
      <c r="F129" s="79">
        <v>0.46379999999999999</v>
      </c>
      <c r="G129" s="79">
        <v>1.5164</v>
      </c>
      <c r="H129" s="88" t="s">
        <v>27</v>
      </c>
      <c r="I129" s="90" t="s">
        <v>41</v>
      </c>
      <c r="J129" s="66"/>
    </row>
    <row r="130" spans="2:10">
      <c r="B130" s="71" t="s">
        <v>19</v>
      </c>
      <c r="C130" s="96" t="s">
        <v>22</v>
      </c>
      <c r="D130" s="79">
        <v>0.98380000000000001</v>
      </c>
      <c r="E130" s="79">
        <v>0.25130000000000002</v>
      </c>
      <c r="F130" s="79">
        <v>0.4879</v>
      </c>
      <c r="G130" s="79">
        <v>1.4797</v>
      </c>
      <c r="H130" s="88" t="s">
        <v>27</v>
      </c>
      <c r="I130" s="90" t="s">
        <v>41</v>
      </c>
      <c r="J130" s="66"/>
    </row>
    <row r="131" spans="2:10">
      <c r="B131" s="71" t="s">
        <v>19</v>
      </c>
      <c r="C131" s="96" t="s">
        <v>6</v>
      </c>
      <c r="D131" s="79">
        <v>4.2999999999999997E-2</v>
      </c>
      <c r="E131" s="79">
        <v>0.20530000000000001</v>
      </c>
      <c r="F131" s="79">
        <v>-0.3619</v>
      </c>
      <c r="G131" s="79">
        <v>0.44790000000000002</v>
      </c>
      <c r="H131" s="97">
        <v>0.83430000000000004</v>
      </c>
      <c r="I131" s="90" t="s">
        <v>40</v>
      </c>
      <c r="J131" s="66"/>
    </row>
    <row r="132" spans="2:10">
      <c r="B132" s="71" t="s">
        <v>20</v>
      </c>
      <c r="C132" s="96" t="s">
        <v>3</v>
      </c>
      <c r="D132" s="79">
        <v>1.3068</v>
      </c>
      <c r="E132" s="79">
        <v>0.24179999999999999</v>
      </c>
      <c r="F132" s="79">
        <v>0.82969999999999999</v>
      </c>
      <c r="G132" s="79">
        <v>1.7839</v>
      </c>
      <c r="H132" s="97" t="s">
        <v>27</v>
      </c>
      <c r="I132" s="90" t="s">
        <v>41</v>
      </c>
      <c r="J132" s="66"/>
    </row>
    <row r="133" spans="2:10">
      <c r="B133" s="71" t="s">
        <v>20</v>
      </c>
      <c r="C133" s="96" t="s">
        <v>21</v>
      </c>
      <c r="D133" s="79">
        <v>0.89190000000000003</v>
      </c>
      <c r="E133" s="79">
        <v>0.27210000000000001</v>
      </c>
      <c r="F133" s="79">
        <v>0.35489999999999999</v>
      </c>
      <c r="G133" s="79">
        <v>1.4289000000000001</v>
      </c>
      <c r="H133" s="97">
        <v>1E-3</v>
      </c>
      <c r="I133" s="90" t="s">
        <v>41</v>
      </c>
      <c r="J133" s="66"/>
    </row>
    <row r="134" spans="2:10">
      <c r="B134" s="71" t="s">
        <v>20</v>
      </c>
      <c r="C134" s="96" t="s">
        <v>22</v>
      </c>
      <c r="D134" s="79">
        <v>0.88560000000000005</v>
      </c>
      <c r="E134" s="79">
        <v>0.2571</v>
      </c>
      <c r="F134" s="79">
        <v>0.37830000000000003</v>
      </c>
      <c r="G134" s="79">
        <v>1.3929</v>
      </c>
      <c r="H134" s="97" t="s">
        <v>27</v>
      </c>
      <c r="I134" s="90" t="s">
        <v>41</v>
      </c>
      <c r="J134" s="66"/>
    </row>
    <row r="135" spans="2:10">
      <c r="B135" s="71" t="s">
        <v>20</v>
      </c>
      <c r="C135" s="96" t="s">
        <v>6</v>
      </c>
      <c r="D135" s="79">
        <v>-5.5199999999999999E-2</v>
      </c>
      <c r="E135" s="79">
        <v>0.21240000000000001</v>
      </c>
      <c r="F135" s="79">
        <v>-0.47399999999999998</v>
      </c>
      <c r="G135" s="79">
        <v>0.36359999999999998</v>
      </c>
      <c r="H135" s="97">
        <v>0.79520000000000002</v>
      </c>
      <c r="I135" s="90" t="s">
        <v>40</v>
      </c>
      <c r="J135" s="66"/>
    </row>
    <row r="136" spans="2:10">
      <c r="B136" s="71" t="s">
        <v>3</v>
      </c>
      <c r="C136" s="96" t="s">
        <v>21</v>
      </c>
      <c r="D136" s="79">
        <v>-0.41489999999999999</v>
      </c>
      <c r="E136" s="79">
        <v>0.29320000000000002</v>
      </c>
      <c r="F136" s="79">
        <v>-0.99329999999999996</v>
      </c>
      <c r="G136" s="79">
        <v>0.16350000000000001</v>
      </c>
      <c r="H136" s="97">
        <v>0.15870000000000001</v>
      </c>
      <c r="I136" s="90" t="s">
        <v>40</v>
      </c>
      <c r="J136" s="66"/>
    </row>
    <row r="137" spans="2:10">
      <c r="B137" s="71" t="s">
        <v>3</v>
      </c>
      <c r="C137" s="96" t="s">
        <v>22</v>
      </c>
      <c r="D137" s="79">
        <v>-0.42120000000000002</v>
      </c>
      <c r="E137" s="79">
        <v>0.27939999999999998</v>
      </c>
      <c r="F137" s="79">
        <v>-0.97219999999999995</v>
      </c>
      <c r="G137" s="79">
        <v>0.1298</v>
      </c>
      <c r="H137" s="97">
        <v>0.1333</v>
      </c>
      <c r="I137" s="90" t="s">
        <v>40</v>
      </c>
      <c r="J137" s="66"/>
    </row>
    <row r="138" spans="2:10">
      <c r="B138" s="71" t="s">
        <v>3</v>
      </c>
      <c r="C138" s="96" t="s">
        <v>6</v>
      </c>
      <c r="D138" s="79">
        <v>-1.3620000000000001</v>
      </c>
      <c r="E138" s="79">
        <v>0.2389</v>
      </c>
      <c r="F138" s="79">
        <v>-1.8332999999999999</v>
      </c>
      <c r="G138" s="79">
        <v>-0.89070000000000005</v>
      </c>
      <c r="H138" s="97" t="s">
        <v>27</v>
      </c>
      <c r="I138" s="90" t="s">
        <v>41</v>
      </c>
      <c r="J138" s="66"/>
    </row>
    <row r="139" spans="2:10">
      <c r="B139" s="71" t="s">
        <v>21</v>
      </c>
      <c r="C139" s="96" t="s">
        <v>22</v>
      </c>
      <c r="D139" s="79">
        <v>-6.3E-3</v>
      </c>
      <c r="E139" s="79">
        <v>0.30590000000000001</v>
      </c>
      <c r="F139" s="79">
        <v>-0.60960000000000003</v>
      </c>
      <c r="G139" s="79">
        <v>0.59699999999999998</v>
      </c>
      <c r="H139" s="97">
        <v>0.98360000000000003</v>
      </c>
      <c r="I139" s="90" t="s">
        <v>40</v>
      </c>
      <c r="J139" s="66"/>
    </row>
    <row r="140" spans="2:10">
      <c r="B140" s="71" t="s">
        <v>21</v>
      </c>
      <c r="C140" s="96" t="s">
        <v>6</v>
      </c>
      <c r="D140" s="79">
        <v>-0.94710000000000005</v>
      </c>
      <c r="E140" s="79">
        <v>0.26939999999999997</v>
      </c>
      <c r="F140" s="79">
        <v>-1.4789000000000001</v>
      </c>
      <c r="G140" s="79">
        <v>-0.4153</v>
      </c>
      <c r="H140" s="88" t="s">
        <v>27</v>
      </c>
      <c r="I140" s="90" t="s">
        <v>41</v>
      </c>
      <c r="J140" s="66"/>
    </row>
    <row r="141" spans="2:10">
      <c r="B141" s="73" t="s">
        <v>22</v>
      </c>
      <c r="C141" s="94" t="s">
        <v>6</v>
      </c>
      <c r="D141" s="80">
        <v>-0.94079999999999997</v>
      </c>
      <c r="E141" s="80">
        <v>0.25430000000000003</v>
      </c>
      <c r="F141" s="80">
        <v>-1.4426000000000001</v>
      </c>
      <c r="G141" s="80">
        <v>-0.439</v>
      </c>
      <c r="H141" s="84" t="s">
        <v>27</v>
      </c>
      <c r="I141" s="85" t="s">
        <v>41</v>
      </c>
      <c r="J141" s="66"/>
    </row>
    <row r="142" spans="2:10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0198F-BCFE-4076-82DC-4972CED72CD2}">
  <dimension ref="B1:J143"/>
  <sheetViews>
    <sheetView topLeftCell="A130" workbookViewId="0">
      <selection activeCell="A144" sqref="A144:XFD160"/>
    </sheetView>
  </sheetViews>
  <sheetFormatPr defaultRowHeight="15"/>
  <cols>
    <col min="2" max="2" width="36.5703125" bestFit="1" customWidth="1"/>
    <col min="3" max="3" width="11.85546875" bestFit="1" customWidth="1"/>
    <col min="4" max="4" width="15.85546875" bestFit="1" customWidth="1"/>
    <col min="5" max="5" width="11.85546875" bestFit="1" customWidth="1"/>
    <col min="6" max="6" width="13.85546875" bestFit="1" customWidth="1"/>
    <col min="7" max="7" width="15.140625" bestFit="1" customWidth="1"/>
    <col min="8" max="10" width="11.85546875" bestFit="1" customWidth="1"/>
  </cols>
  <sheetData>
    <row r="1" spans="2:7">
      <c r="B1" s="63" t="s">
        <v>49</v>
      </c>
      <c r="C1" s="64"/>
      <c r="D1" s="64"/>
      <c r="E1" s="64"/>
      <c r="F1" s="64"/>
      <c r="G1" s="65"/>
    </row>
    <row r="2" spans="2:7"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7" t="s">
        <v>6</v>
      </c>
    </row>
    <row r="3" spans="2:7">
      <c r="B3" s="21">
        <v>12.07</v>
      </c>
      <c r="C3" s="22">
        <v>12.07</v>
      </c>
      <c r="D3" s="22">
        <v>7.6</v>
      </c>
      <c r="E3" s="22">
        <v>14.83</v>
      </c>
      <c r="F3" s="22">
        <v>7.73</v>
      </c>
      <c r="G3" s="23">
        <v>10.199999999999999</v>
      </c>
    </row>
    <row r="4" spans="2:7">
      <c r="B4" s="24">
        <v>12.17</v>
      </c>
      <c r="C4" s="36">
        <v>11.63</v>
      </c>
      <c r="D4" s="36">
        <v>10.93</v>
      </c>
      <c r="E4" s="36">
        <v>13.17</v>
      </c>
      <c r="F4" s="36">
        <v>11.37</v>
      </c>
      <c r="G4" s="26">
        <v>10.77</v>
      </c>
    </row>
    <row r="5" spans="2:7">
      <c r="B5" s="24">
        <v>10.87</v>
      </c>
      <c r="C5" s="36">
        <v>12.77</v>
      </c>
      <c r="D5" s="36">
        <v>11.17</v>
      </c>
      <c r="E5" s="36">
        <v>15.67</v>
      </c>
      <c r="F5" s="36">
        <v>12.53</v>
      </c>
      <c r="G5" s="26">
        <v>9.4</v>
      </c>
    </row>
    <row r="6" spans="2:7">
      <c r="B6" s="24">
        <v>11.37</v>
      </c>
      <c r="C6" s="36">
        <v>5.5</v>
      </c>
      <c r="D6" s="36">
        <v>8.0299999999999994</v>
      </c>
      <c r="E6" s="36">
        <v>14.57</v>
      </c>
      <c r="F6" s="36">
        <v>7.7</v>
      </c>
      <c r="G6" s="26">
        <v>9.43</v>
      </c>
    </row>
    <row r="7" spans="2:7">
      <c r="B7" s="24">
        <v>11.13</v>
      </c>
      <c r="C7" s="36">
        <v>11.5</v>
      </c>
      <c r="D7" s="36">
        <v>7.83</v>
      </c>
      <c r="E7" s="36">
        <v>17.07</v>
      </c>
      <c r="F7" s="36">
        <v>5.5</v>
      </c>
      <c r="G7" s="26">
        <v>9.4</v>
      </c>
    </row>
    <row r="8" spans="2:7">
      <c r="B8" s="24">
        <v>8.9700000000000006</v>
      </c>
      <c r="C8" s="36">
        <v>11.1</v>
      </c>
      <c r="D8" s="36">
        <v>10.57</v>
      </c>
      <c r="E8" s="36">
        <v>17.57</v>
      </c>
      <c r="F8" s="36">
        <v>5.43</v>
      </c>
      <c r="G8" s="26">
        <v>9.27</v>
      </c>
    </row>
    <row r="9" spans="2:7">
      <c r="B9" s="24">
        <v>11</v>
      </c>
      <c r="C9" s="36">
        <v>11.57</v>
      </c>
      <c r="D9" s="36">
        <v>10.07</v>
      </c>
      <c r="E9" s="36">
        <v>6.37</v>
      </c>
      <c r="F9" s="36">
        <v>4.03</v>
      </c>
      <c r="G9" s="26">
        <v>10.43</v>
      </c>
    </row>
    <row r="10" spans="2:7">
      <c r="B10" s="24">
        <v>11.8</v>
      </c>
      <c r="C10" s="36">
        <v>7.77</v>
      </c>
      <c r="D10" s="36">
        <v>8.23</v>
      </c>
      <c r="E10" s="36">
        <v>9.57</v>
      </c>
      <c r="F10" s="36">
        <v>12.23</v>
      </c>
      <c r="G10" s="26">
        <v>2.2000000000000002</v>
      </c>
    </row>
    <row r="11" spans="2:7">
      <c r="B11" s="24">
        <v>12.4</v>
      </c>
      <c r="C11" s="36">
        <v>11.13</v>
      </c>
      <c r="D11" s="36">
        <v>4.5</v>
      </c>
      <c r="E11" s="36">
        <v>18.23</v>
      </c>
      <c r="F11" s="36">
        <v>11.07</v>
      </c>
      <c r="G11" s="26">
        <v>10.130000000000001</v>
      </c>
    </row>
    <row r="12" spans="2:7">
      <c r="B12" s="24">
        <v>6.37</v>
      </c>
      <c r="C12" s="36">
        <v>11.83</v>
      </c>
      <c r="D12" s="36">
        <v>9.33</v>
      </c>
      <c r="E12" s="36">
        <v>15.3</v>
      </c>
      <c r="F12" s="36">
        <v>7.63</v>
      </c>
      <c r="G12" s="26">
        <v>10.53</v>
      </c>
    </row>
    <row r="13" spans="2:7">
      <c r="B13" s="24">
        <v>11.27</v>
      </c>
      <c r="C13" s="36">
        <v>12.13</v>
      </c>
      <c r="D13" s="36">
        <v>6.2</v>
      </c>
      <c r="E13" s="36">
        <v>14.87</v>
      </c>
      <c r="F13" s="36">
        <v>11.3</v>
      </c>
      <c r="G13" s="26">
        <v>10.8</v>
      </c>
    </row>
    <row r="14" spans="2:7">
      <c r="B14" s="24">
        <v>12.07</v>
      </c>
      <c r="C14" s="36">
        <v>12.2</v>
      </c>
      <c r="D14" s="36">
        <v>10.77</v>
      </c>
      <c r="E14" s="36">
        <v>16.77</v>
      </c>
      <c r="F14" s="36">
        <v>11.5</v>
      </c>
      <c r="G14" s="26">
        <v>9.77</v>
      </c>
    </row>
    <row r="15" spans="2:7">
      <c r="B15" s="24">
        <v>11.23</v>
      </c>
      <c r="C15" s="36">
        <v>12.3</v>
      </c>
      <c r="D15" s="36">
        <v>3.7</v>
      </c>
      <c r="E15" s="36">
        <v>14.67</v>
      </c>
      <c r="F15" s="36">
        <v>13.3</v>
      </c>
      <c r="G15" s="26">
        <v>9.5299999999999994</v>
      </c>
    </row>
    <row r="16" spans="2:7">
      <c r="B16" s="24">
        <v>8.6</v>
      </c>
      <c r="C16" s="36">
        <v>12.4</v>
      </c>
      <c r="D16" s="36">
        <v>9.9700000000000006</v>
      </c>
      <c r="E16" s="36">
        <v>17.47</v>
      </c>
      <c r="F16" s="36">
        <v>11.5</v>
      </c>
      <c r="G16" s="26">
        <v>10.73</v>
      </c>
    </row>
    <row r="17" spans="2:7">
      <c r="B17" s="24">
        <v>12.53</v>
      </c>
      <c r="C17" s="36">
        <v>13.33</v>
      </c>
      <c r="D17" s="36">
        <v>11.57</v>
      </c>
      <c r="E17" s="36">
        <v>25</v>
      </c>
      <c r="F17" s="36">
        <v>8.77</v>
      </c>
      <c r="G17" s="26">
        <v>10.6</v>
      </c>
    </row>
    <row r="18" spans="2:7">
      <c r="B18" s="24">
        <v>11.33</v>
      </c>
      <c r="C18" s="36">
        <v>11.7</v>
      </c>
      <c r="D18" s="36">
        <v>7.93</v>
      </c>
      <c r="E18" s="36">
        <v>7.3</v>
      </c>
      <c r="F18" s="36">
        <v>6.27</v>
      </c>
      <c r="G18" s="26">
        <v>10.17</v>
      </c>
    </row>
    <row r="19" spans="2:7">
      <c r="B19" s="24">
        <v>11.57</v>
      </c>
      <c r="C19" s="36">
        <v>11.57</v>
      </c>
      <c r="D19" s="36">
        <v>9.3699999999999992</v>
      </c>
      <c r="E19" s="36">
        <v>10.93</v>
      </c>
      <c r="F19" s="36">
        <v>13.37</v>
      </c>
      <c r="G19" s="26">
        <v>10.6</v>
      </c>
    </row>
    <row r="20" spans="2:7">
      <c r="B20" s="24">
        <v>11</v>
      </c>
      <c r="C20" s="36">
        <v>11.5</v>
      </c>
      <c r="D20" s="36">
        <v>10.23</v>
      </c>
      <c r="E20" s="36">
        <v>14.83</v>
      </c>
      <c r="F20" s="36">
        <v>11.67</v>
      </c>
      <c r="G20" s="26">
        <v>10.93</v>
      </c>
    </row>
    <row r="21" spans="2:7">
      <c r="B21" s="24">
        <v>11.93</v>
      </c>
      <c r="C21" s="36">
        <v>11.93</v>
      </c>
      <c r="D21" s="36">
        <v>10.93</v>
      </c>
      <c r="E21" s="36">
        <v>5.4</v>
      </c>
      <c r="F21" s="36">
        <v>5.77</v>
      </c>
      <c r="G21" s="26">
        <v>10</v>
      </c>
    </row>
    <row r="22" spans="2:7">
      <c r="B22" s="24">
        <v>11.77</v>
      </c>
      <c r="C22" s="36">
        <v>12.1</v>
      </c>
      <c r="D22" s="36">
        <v>10.73</v>
      </c>
      <c r="E22" s="36">
        <v>15.1</v>
      </c>
      <c r="F22" s="36">
        <v>8.1999999999999993</v>
      </c>
      <c r="G22" s="26">
        <v>10.53</v>
      </c>
    </row>
    <row r="23" spans="2:7">
      <c r="B23" s="24">
        <v>7.8</v>
      </c>
      <c r="C23" s="36">
        <v>11.27</v>
      </c>
      <c r="D23" s="36">
        <v>9</v>
      </c>
      <c r="E23" s="36">
        <v>15.1</v>
      </c>
      <c r="F23" s="36">
        <v>12.2</v>
      </c>
      <c r="G23" s="26">
        <v>9.6300000000000008</v>
      </c>
    </row>
    <row r="24" spans="2:7">
      <c r="B24" s="24">
        <v>12.63</v>
      </c>
      <c r="C24" s="36">
        <v>6.67</v>
      </c>
      <c r="D24" s="36">
        <v>10.4</v>
      </c>
      <c r="E24" s="36">
        <v>14.73</v>
      </c>
      <c r="F24" s="36">
        <v>12.17</v>
      </c>
      <c r="G24" s="26">
        <v>9.6</v>
      </c>
    </row>
    <row r="25" spans="2:7">
      <c r="B25" s="24">
        <v>11.47</v>
      </c>
      <c r="C25" s="36">
        <v>10.97</v>
      </c>
      <c r="D25" s="36">
        <v>10.33</v>
      </c>
      <c r="E25" s="36">
        <v>14.87</v>
      </c>
      <c r="F25" s="36">
        <v>11.57</v>
      </c>
      <c r="G25" s="26">
        <v>11.1</v>
      </c>
    </row>
    <row r="26" spans="2:7">
      <c r="B26" s="24">
        <v>12.67</v>
      </c>
      <c r="C26" s="36">
        <v>11.33</v>
      </c>
      <c r="D26" s="36">
        <v>3.73</v>
      </c>
      <c r="E26" s="36">
        <v>17.37</v>
      </c>
      <c r="F26" s="36">
        <v>11.37</v>
      </c>
      <c r="G26" s="26">
        <v>9.8699999999999992</v>
      </c>
    </row>
    <row r="27" spans="2:7">
      <c r="B27" s="24">
        <v>11.3</v>
      </c>
      <c r="C27" s="36">
        <v>11.57</v>
      </c>
      <c r="D27" s="36">
        <v>10.77</v>
      </c>
      <c r="E27" s="36">
        <v>12.37</v>
      </c>
      <c r="F27" s="36">
        <v>12.03</v>
      </c>
      <c r="G27" s="26">
        <v>10.57</v>
      </c>
    </row>
    <row r="28" spans="2:7">
      <c r="B28" s="24">
        <v>11.6</v>
      </c>
      <c r="C28" s="36">
        <v>11.57</v>
      </c>
      <c r="D28" s="36">
        <v>10.67</v>
      </c>
      <c r="E28" s="36">
        <v>15.7</v>
      </c>
      <c r="F28" s="36">
        <v>12.07</v>
      </c>
      <c r="G28" s="26">
        <v>8.93</v>
      </c>
    </row>
    <row r="29" spans="2:7">
      <c r="B29" s="24">
        <v>11.8</v>
      </c>
      <c r="C29" s="36">
        <v>11.03</v>
      </c>
      <c r="D29" s="36">
        <v>10.17</v>
      </c>
      <c r="E29" s="36">
        <v>15.37</v>
      </c>
      <c r="F29" s="36">
        <v>11.43</v>
      </c>
      <c r="G29" s="26">
        <v>9.77</v>
      </c>
    </row>
    <row r="30" spans="2:7">
      <c r="B30" s="24">
        <v>11.2</v>
      </c>
      <c r="C30" s="36">
        <v>11.73</v>
      </c>
      <c r="D30" s="36">
        <v>7.8</v>
      </c>
      <c r="E30" s="36">
        <v>16.97</v>
      </c>
      <c r="F30" s="36">
        <v>11.3</v>
      </c>
      <c r="G30" s="26">
        <v>10.7</v>
      </c>
    </row>
    <row r="31" spans="2:7">
      <c r="B31" s="24">
        <v>10.77</v>
      </c>
      <c r="C31" s="36">
        <v>11.27</v>
      </c>
      <c r="D31" s="36">
        <v>7.67</v>
      </c>
      <c r="E31" s="36">
        <v>16.77</v>
      </c>
      <c r="F31" s="36">
        <v>9.5299999999999994</v>
      </c>
      <c r="G31" s="26">
        <v>9.4</v>
      </c>
    </row>
    <row r="32" spans="2:7">
      <c r="B32" s="24">
        <v>11.83</v>
      </c>
      <c r="C32" s="36">
        <v>7.5</v>
      </c>
      <c r="D32" s="36">
        <v>6.6</v>
      </c>
      <c r="E32" s="36">
        <v>15.9</v>
      </c>
      <c r="F32" s="36">
        <v>7.9</v>
      </c>
      <c r="G32" s="26">
        <v>9.5299999999999994</v>
      </c>
    </row>
    <row r="33" spans="2:7">
      <c r="B33" s="24">
        <v>12.33</v>
      </c>
      <c r="C33" s="36">
        <v>5.73</v>
      </c>
      <c r="D33" s="36">
        <v>8.27</v>
      </c>
      <c r="E33" s="36">
        <v>15.4</v>
      </c>
      <c r="F33" s="36">
        <v>10.47</v>
      </c>
      <c r="G33" s="26">
        <v>9.4</v>
      </c>
    </row>
    <row r="34" spans="2:7">
      <c r="B34" s="24">
        <v>12.6</v>
      </c>
      <c r="C34" s="36">
        <v>12.33</v>
      </c>
      <c r="D34" s="36">
        <v>8.1</v>
      </c>
      <c r="E34" s="36">
        <v>16.399999999999999</v>
      </c>
      <c r="F34" s="36">
        <v>11.13</v>
      </c>
      <c r="G34" s="26">
        <v>10.53</v>
      </c>
    </row>
    <row r="35" spans="2:7">
      <c r="B35" s="24">
        <v>6.63</v>
      </c>
      <c r="C35" s="36">
        <v>7.67</v>
      </c>
      <c r="D35" s="36">
        <v>7.33</v>
      </c>
      <c r="E35" s="36">
        <v>15.6</v>
      </c>
      <c r="F35" s="36">
        <v>10.07</v>
      </c>
      <c r="G35" s="26">
        <v>10.17</v>
      </c>
    </row>
    <row r="36" spans="2:7">
      <c r="B36" s="24">
        <v>11.2</v>
      </c>
      <c r="C36" s="36">
        <v>7.77</v>
      </c>
      <c r="D36" s="36">
        <v>10.83</v>
      </c>
      <c r="E36" s="36">
        <v>9.5</v>
      </c>
      <c r="F36" s="36">
        <v>11.33</v>
      </c>
      <c r="G36" s="26">
        <v>8.67</v>
      </c>
    </row>
    <row r="37" spans="2:7">
      <c r="B37" s="24">
        <v>11.87</v>
      </c>
      <c r="C37" s="36">
        <v>11.6</v>
      </c>
      <c r="D37" s="36">
        <v>10.199999999999999</v>
      </c>
      <c r="E37" s="36">
        <v>14.87</v>
      </c>
      <c r="F37" s="36">
        <v>11.83</v>
      </c>
      <c r="G37" s="26">
        <v>10.199999999999999</v>
      </c>
    </row>
    <row r="38" spans="2:7">
      <c r="B38" s="24">
        <v>10.5</v>
      </c>
      <c r="C38" s="36">
        <v>11.03</v>
      </c>
      <c r="D38" s="36">
        <v>7.33</v>
      </c>
      <c r="E38" s="36">
        <v>16.829999999999998</v>
      </c>
      <c r="F38" s="36">
        <v>12.03</v>
      </c>
      <c r="G38" s="26">
        <v>10.3</v>
      </c>
    </row>
    <row r="39" spans="2:7">
      <c r="B39" s="24">
        <v>12.83</v>
      </c>
      <c r="C39" s="36">
        <v>11.97</v>
      </c>
      <c r="D39" s="36">
        <v>7.87</v>
      </c>
      <c r="E39" s="36">
        <v>15.8</v>
      </c>
      <c r="F39" s="36">
        <v>6.07</v>
      </c>
      <c r="G39" s="26">
        <v>4.03</v>
      </c>
    </row>
    <row r="40" spans="2:7">
      <c r="B40" s="24">
        <v>11.87</v>
      </c>
      <c r="C40" s="36">
        <v>12.27</v>
      </c>
      <c r="D40" s="36">
        <v>10.07</v>
      </c>
      <c r="E40" s="36">
        <v>15.47</v>
      </c>
      <c r="F40" s="36">
        <v>11.43</v>
      </c>
      <c r="G40" s="26">
        <v>10.53</v>
      </c>
    </row>
    <row r="41" spans="2:7">
      <c r="B41" s="24">
        <v>10.87</v>
      </c>
      <c r="C41" s="36">
        <v>11.57</v>
      </c>
      <c r="D41" s="36">
        <v>7.23</v>
      </c>
      <c r="E41" s="36">
        <v>16.600000000000001</v>
      </c>
      <c r="F41" s="36">
        <v>11.8</v>
      </c>
      <c r="G41" s="26">
        <v>9.83</v>
      </c>
    </row>
    <row r="42" spans="2:7">
      <c r="B42" s="24">
        <v>11.57</v>
      </c>
      <c r="C42" s="36">
        <v>12.13</v>
      </c>
      <c r="D42" s="36">
        <v>10.73</v>
      </c>
      <c r="E42" s="36">
        <v>17.53</v>
      </c>
      <c r="F42" s="36">
        <v>18.43</v>
      </c>
      <c r="G42" s="26">
        <v>10.4</v>
      </c>
    </row>
    <row r="43" spans="2:7">
      <c r="B43" s="24">
        <v>12.23</v>
      </c>
      <c r="C43" s="36">
        <v>12.1</v>
      </c>
      <c r="D43" s="36">
        <v>10.53</v>
      </c>
      <c r="E43" s="36">
        <v>14.93</v>
      </c>
      <c r="F43" s="36">
        <v>11.7</v>
      </c>
      <c r="G43" s="26">
        <v>10.53</v>
      </c>
    </row>
    <row r="44" spans="2:7">
      <c r="B44" s="24">
        <v>8.6999999999999993</v>
      </c>
      <c r="C44" s="36">
        <v>11.67</v>
      </c>
      <c r="D44" s="36">
        <v>10.33</v>
      </c>
      <c r="E44" s="36">
        <v>14</v>
      </c>
      <c r="F44" s="36">
        <v>7.2</v>
      </c>
      <c r="G44" s="26">
        <v>7.53</v>
      </c>
    </row>
    <row r="45" spans="2:7">
      <c r="B45" s="24">
        <v>12.5</v>
      </c>
      <c r="C45" s="36">
        <v>11.07</v>
      </c>
      <c r="D45" s="36">
        <v>10.3</v>
      </c>
      <c r="E45" s="36">
        <v>9.1300000000000008</v>
      </c>
      <c r="F45" s="36">
        <v>10.97</v>
      </c>
      <c r="G45" s="26">
        <v>9.4700000000000006</v>
      </c>
    </row>
    <row r="46" spans="2:7">
      <c r="B46" s="24">
        <v>12.2</v>
      </c>
      <c r="C46" s="36">
        <v>7.1</v>
      </c>
      <c r="D46" s="36">
        <v>7.1</v>
      </c>
      <c r="E46" s="36">
        <v>17.2</v>
      </c>
      <c r="F46" s="36">
        <v>11.7</v>
      </c>
      <c r="G46" s="26">
        <v>6.8</v>
      </c>
    </row>
    <row r="47" spans="2:7">
      <c r="B47" s="24">
        <v>11.33</v>
      </c>
      <c r="C47" s="36">
        <v>11.6</v>
      </c>
      <c r="D47" s="36">
        <v>10.5</v>
      </c>
      <c r="E47" s="36">
        <v>17.77</v>
      </c>
      <c r="F47" s="36">
        <v>10.53</v>
      </c>
      <c r="G47" s="26">
        <v>9.43</v>
      </c>
    </row>
    <row r="48" spans="2:7">
      <c r="B48" s="24">
        <v>11.7</v>
      </c>
      <c r="C48" s="36">
        <v>12.03</v>
      </c>
      <c r="D48" s="36">
        <v>12.7</v>
      </c>
      <c r="E48" s="36">
        <v>14.87</v>
      </c>
      <c r="F48" s="36">
        <v>10.83</v>
      </c>
      <c r="G48" s="26">
        <v>10.27</v>
      </c>
    </row>
    <row r="49" spans="2:7">
      <c r="B49" s="24">
        <v>12.47</v>
      </c>
      <c r="C49" s="36">
        <v>11.93</v>
      </c>
      <c r="D49" s="36">
        <v>9.1300000000000008</v>
      </c>
      <c r="E49" s="36">
        <v>17.329999999999998</v>
      </c>
      <c r="F49" s="36">
        <v>12.4</v>
      </c>
      <c r="G49" s="26">
        <v>4.33</v>
      </c>
    </row>
    <row r="50" spans="2:7">
      <c r="B50" s="24">
        <v>11.77</v>
      </c>
      <c r="C50" s="36">
        <v>11.23</v>
      </c>
      <c r="D50" s="36">
        <v>10</v>
      </c>
      <c r="E50" s="36">
        <v>14.13</v>
      </c>
      <c r="F50" s="36">
        <v>12.13</v>
      </c>
      <c r="G50" s="26">
        <v>10.029999999999999</v>
      </c>
    </row>
    <row r="51" spans="2:7">
      <c r="B51" s="24">
        <v>11.5</v>
      </c>
      <c r="C51" s="36">
        <v>11.67</v>
      </c>
      <c r="D51" s="36">
        <v>10.4</v>
      </c>
      <c r="E51" s="36">
        <v>7.27</v>
      </c>
      <c r="F51" s="36">
        <v>12.3</v>
      </c>
      <c r="G51" s="26">
        <v>8.8000000000000007</v>
      </c>
    </row>
    <row r="52" spans="2:7">
      <c r="B52" s="24">
        <v>11.27</v>
      </c>
      <c r="C52" s="36">
        <v>12.53</v>
      </c>
      <c r="D52" s="36">
        <v>8.07</v>
      </c>
      <c r="E52" s="36">
        <v>10</v>
      </c>
      <c r="F52" s="36">
        <v>11.23</v>
      </c>
      <c r="G52" s="26">
        <v>10.23</v>
      </c>
    </row>
    <row r="53" spans="2:7">
      <c r="B53" s="24">
        <v>5.07</v>
      </c>
      <c r="C53" s="36">
        <v>11.93</v>
      </c>
      <c r="D53" s="36">
        <v>9.6999999999999993</v>
      </c>
      <c r="E53" s="36">
        <v>14.4</v>
      </c>
      <c r="F53" s="36">
        <v>11.63</v>
      </c>
      <c r="G53" s="26">
        <v>10.73</v>
      </c>
    </row>
    <row r="54" spans="2:7">
      <c r="B54" s="24">
        <v>11.13</v>
      </c>
      <c r="C54" s="36">
        <v>11.43</v>
      </c>
      <c r="D54" s="36">
        <v>10.7</v>
      </c>
      <c r="E54" s="36">
        <v>16.27</v>
      </c>
      <c r="F54" s="36">
        <v>12.63</v>
      </c>
      <c r="G54" s="26">
        <v>11.3</v>
      </c>
    </row>
    <row r="55" spans="2:7">
      <c r="B55" s="24">
        <v>11.83</v>
      </c>
      <c r="C55" s="36">
        <v>10.73</v>
      </c>
      <c r="D55" s="36">
        <v>8.33</v>
      </c>
      <c r="E55" s="36">
        <v>15.57</v>
      </c>
      <c r="F55" s="36">
        <v>11.07</v>
      </c>
      <c r="G55" s="26">
        <v>9.8699999999999992</v>
      </c>
    </row>
    <row r="56" spans="2:7">
      <c r="B56" s="24">
        <v>11.73</v>
      </c>
      <c r="C56" s="36">
        <v>10.87</v>
      </c>
      <c r="D56" s="36">
        <v>9.6999999999999993</v>
      </c>
      <c r="E56" s="36">
        <v>16.43</v>
      </c>
      <c r="F56" s="36">
        <v>12.33</v>
      </c>
      <c r="G56" s="26">
        <v>10.53</v>
      </c>
    </row>
    <row r="57" spans="2:7">
      <c r="B57" s="24">
        <v>11.33</v>
      </c>
      <c r="C57" s="36">
        <v>11.53</v>
      </c>
      <c r="D57" s="36">
        <v>10</v>
      </c>
      <c r="E57" s="36">
        <v>14.57</v>
      </c>
      <c r="F57" s="36">
        <v>12.13</v>
      </c>
      <c r="G57" s="26">
        <v>2.87</v>
      </c>
    </row>
    <row r="58" spans="2:7">
      <c r="B58" s="24">
        <v>10.9</v>
      </c>
      <c r="C58" s="36">
        <v>11.03</v>
      </c>
      <c r="D58" s="36">
        <v>9.57</v>
      </c>
      <c r="E58" s="36">
        <v>6.97</v>
      </c>
      <c r="F58" s="36">
        <v>12.23</v>
      </c>
      <c r="G58" s="26">
        <v>10.43</v>
      </c>
    </row>
    <row r="59" spans="2:7">
      <c r="B59" s="24">
        <v>12</v>
      </c>
      <c r="C59" s="36">
        <v>9.67</v>
      </c>
      <c r="D59" s="36">
        <v>9.77</v>
      </c>
      <c r="E59" s="36">
        <v>17.170000000000002</v>
      </c>
      <c r="F59" s="36">
        <v>8.1</v>
      </c>
      <c r="G59" s="26">
        <v>10.130000000000001</v>
      </c>
    </row>
    <row r="60" spans="2:7">
      <c r="B60" s="24">
        <v>11.43</v>
      </c>
      <c r="C60" s="36">
        <v>11.33</v>
      </c>
      <c r="D60" s="36">
        <v>8</v>
      </c>
      <c r="E60" s="36">
        <v>13.17</v>
      </c>
      <c r="F60" s="36">
        <v>10.9</v>
      </c>
      <c r="G60" s="26">
        <v>9.93</v>
      </c>
    </row>
    <row r="61" spans="2:7">
      <c r="B61" s="24">
        <v>11.4</v>
      </c>
      <c r="C61" s="36">
        <v>12</v>
      </c>
      <c r="D61" s="36">
        <v>10.83</v>
      </c>
      <c r="E61" s="36">
        <v>7.13</v>
      </c>
      <c r="F61" s="36">
        <v>5.4</v>
      </c>
      <c r="G61" s="26">
        <v>10.4</v>
      </c>
    </row>
    <row r="62" spans="2:7">
      <c r="B62" s="24">
        <v>11.13</v>
      </c>
      <c r="C62" s="36">
        <v>12</v>
      </c>
      <c r="D62" s="36">
        <v>9.67</v>
      </c>
      <c r="E62" s="36">
        <v>16.100000000000001</v>
      </c>
      <c r="F62" s="36">
        <v>8.9700000000000006</v>
      </c>
      <c r="G62" s="26">
        <v>9.83</v>
      </c>
    </row>
    <row r="63" spans="2:7">
      <c r="B63" s="24">
        <v>10.7</v>
      </c>
      <c r="C63" s="36">
        <v>11.83</v>
      </c>
      <c r="D63" s="36">
        <v>10.27</v>
      </c>
      <c r="E63" s="36">
        <v>15.47</v>
      </c>
      <c r="F63" s="36">
        <v>10.97</v>
      </c>
      <c r="G63" s="26">
        <v>10.37</v>
      </c>
    </row>
    <row r="64" spans="2:7">
      <c r="B64" s="24">
        <v>2.93</v>
      </c>
      <c r="C64" s="36">
        <v>9.73</v>
      </c>
      <c r="D64" s="36">
        <v>6.53</v>
      </c>
      <c r="E64" s="36">
        <v>16.27</v>
      </c>
      <c r="F64" s="36">
        <v>11.87</v>
      </c>
      <c r="G64" s="26">
        <v>9.4700000000000006</v>
      </c>
    </row>
    <row r="65" spans="2:7">
      <c r="B65" s="24">
        <v>11.5</v>
      </c>
      <c r="C65" s="36">
        <v>12.6</v>
      </c>
      <c r="D65" s="36">
        <v>9.4</v>
      </c>
      <c r="E65" s="36">
        <v>6.17</v>
      </c>
      <c r="F65" s="36">
        <v>12.07</v>
      </c>
      <c r="G65" s="26">
        <v>11.03</v>
      </c>
    </row>
    <row r="66" spans="2:7">
      <c r="B66" s="24">
        <v>10.47</v>
      </c>
      <c r="C66" s="36">
        <v>11.3</v>
      </c>
      <c r="D66" s="36">
        <v>8.3699999999999992</v>
      </c>
      <c r="E66" s="36">
        <v>14.13</v>
      </c>
      <c r="F66" s="36">
        <v>11.47</v>
      </c>
      <c r="G66" s="26">
        <v>10.37</v>
      </c>
    </row>
    <row r="67" spans="2:7">
      <c r="B67" s="24">
        <v>13</v>
      </c>
      <c r="C67" s="36">
        <v>15</v>
      </c>
      <c r="D67" s="36">
        <v>10.27</v>
      </c>
      <c r="E67" s="36">
        <v>16.93</v>
      </c>
      <c r="F67" s="36">
        <v>9.9700000000000006</v>
      </c>
      <c r="G67" s="26">
        <v>10.97</v>
      </c>
    </row>
    <row r="68" spans="2:7">
      <c r="B68" s="24">
        <v>2.83</v>
      </c>
      <c r="C68" s="36">
        <v>11.27</v>
      </c>
      <c r="D68" s="36">
        <v>8.0299999999999994</v>
      </c>
      <c r="E68" s="36">
        <v>8.1</v>
      </c>
      <c r="F68" s="36">
        <v>12.03</v>
      </c>
      <c r="G68" s="26">
        <v>10.5</v>
      </c>
    </row>
    <row r="69" spans="2:7">
      <c r="B69" s="24">
        <v>11.23</v>
      </c>
      <c r="C69" s="36">
        <v>11.23</v>
      </c>
      <c r="D69" s="36">
        <v>8.9</v>
      </c>
      <c r="E69" s="36">
        <v>16.07</v>
      </c>
      <c r="F69" s="36">
        <v>10.93</v>
      </c>
      <c r="G69" s="26">
        <v>10.97</v>
      </c>
    </row>
    <row r="70" spans="2:7">
      <c r="B70" s="24">
        <v>11</v>
      </c>
      <c r="C70" s="36">
        <v>12.3</v>
      </c>
      <c r="D70" s="36">
        <v>6.27</v>
      </c>
      <c r="E70" s="36">
        <v>9.57</v>
      </c>
      <c r="F70" s="36">
        <v>7.33</v>
      </c>
      <c r="G70" s="26">
        <v>5.83</v>
      </c>
    </row>
    <row r="71" spans="2:7">
      <c r="B71" s="24">
        <v>11.93</v>
      </c>
      <c r="C71" s="36">
        <v>11.87</v>
      </c>
      <c r="D71" s="36">
        <v>8.0299999999999994</v>
      </c>
      <c r="E71" s="36">
        <v>16.07</v>
      </c>
      <c r="F71" s="36">
        <v>12.67</v>
      </c>
      <c r="G71" s="26">
        <v>9.4700000000000006</v>
      </c>
    </row>
    <row r="72" spans="2:7">
      <c r="B72" s="24">
        <v>12.1</v>
      </c>
      <c r="C72" s="36">
        <v>11.93</v>
      </c>
      <c r="D72" s="36">
        <v>10.63</v>
      </c>
      <c r="E72" s="36">
        <v>6.17</v>
      </c>
      <c r="F72" s="36">
        <v>12.03</v>
      </c>
      <c r="G72" s="26">
        <v>10.47</v>
      </c>
    </row>
    <row r="73" spans="2:7">
      <c r="B73" s="24">
        <v>10.9</v>
      </c>
      <c r="C73" s="36">
        <v>11.07</v>
      </c>
      <c r="D73" s="36">
        <v>11.33</v>
      </c>
      <c r="E73" s="36">
        <v>16.37</v>
      </c>
      <c r="F73" s="36">
        <v>11.7</v>
      </c>
      <c r="G73" s="26">
        <v>9.8000000000000007</v>
      </c>
    </row>
    <row r="74" spans="2:7">
      <c r="B74" s="24">
        <v>11.9</v>
      </c>
      <c r="C74" s="36">
        <v>10.7</v>
      </c>
      <c r="D74" s="36">
        <v>11.13</v>
      </c>
      <c r="E74" s="36">
        <v>8.1300000000000008</v>
      </c>
      <c r="F74" s="36">
        <v>9.07</v>
      </c>
      <c r="G74" s="26">
        <v>10.47</v>
      </c>
    </row>
    <row r="75" spans="2:7">
      <c r="B75" s="24">
        <v>11.93</v>
      </c>
      <c r="C75" s="36">
        <v>11.8</v>
      </c>
      <c r="D75" s="36">
        <v>10.07</v>
      </c>
      <c r="E75" s="36">
        <v>15.73</v>
      </c>
      <c r="F75" s="36">
        <v>6.73</v>
      </c>
      <c r="G75" s="26">
        <v>9.6300000000000008</v>
      </c>
    </row>
    <row r="76" spans="2:7">
      <c r="B76" s="24">
        <v>11.83</v>
      </c>
      <c r="C76" s="36">
        <v>13.33</v>
      </c>
      <c r="D76" s="36">
        <v>5.7</v>
      </c>
      <c r="E76" s="36">
        <v>15.93</v>
      </c>
      <c r="F76" s="36">
        <v>11.63</v>
      </c>
      <c r="G76" s="26">
        <v>9.8000000000000007</v>
      </c>
    </row>
    <row r="77" spans="2:7">
      <c r="B77" s="24">
        <v>10.53</v>
      </c>
      <c r="C77" s="36">
        <v>11.47</v>
      </c>
      <c r="D77" s="36">
        <v>6.4</v>
      </c>
      <c r="E77" s="36">
        <v>16.170000000000002</v>
      </c>
      <c r="F77" s="36">
        <v>12.57</v>
      </c>
      <c r="G77" s="26">
        <v>9.73</v>
      </c>
    </row>
    <row r="78" spans="2:7">
      <c r="B78" s="24">
        <v>11.8</v>
      </c>
      <c r="C78" s="36">
        <v>11.43</v>
      </c>
      <c r="D78" s="36">
        <v>7.83</v>
      </c>
      <c r="E78" s="36">
        <v>14.7</v>
      </c>
      <c r="F78" s="36">
        <v>10.17</v>
      </c>
      <c r="G78" s="26">
        <v>11.5</v>
      </c>
    </row>
    <row r="79" spans="2:7">
      <c r="B79" s="24">
        <v>10.6</v>
      </c>
      <c r="C79" s="36">
        <v>10.97</v>
      </c>
      <c r="D79" s="36">
        <v>8.17</v>
      </c>
      <c r="E79" s="36">
        <v>16.53</v>
      </c>
      <c r="F79" s="36">
        <v>6.4</v>
      </c>
      <c r="G79" s="26">
        <v>11.07</v>
      </c>
    </row>
    <row r="80" spans="2:7">
      <c r="B80" s="24">
        <v>10.93</v>
      </c>
      <c r="C80" s="36">
        <v>11.13</v>
      </c>
      <c r="D80" s="36">
        <v>8.4</v>
      </c>
      <c r="E80" s="36">
        <v>14.13</v>
      </c>
      <c r="F80" s="36">
        <v>10.23</v>
      </c>
      <c r="G80" s="26">
        <v>9.77</v>
      </c>
    </row>
    <row r="81" spans="2:7">
      <c r="B81" s="24">
        <v>12.2</v>
      </c>
      <c r="C81" s="36">
        <v>11.67</v>
      </c>
      <c r="D81" s="36">
        <v>9.77</v>
      </c>
      <c r="E81" s="36">
        <v>16.57</v>
      </c>
      <c r="F81" s="36">
        <v>13.97</v>
      </c>
      <c r="G81" s="26">
        <v>11.07</v>
      </c>
    </row>
    <row r="82" spans="2:7">
      <c r="B82" s="24">
        <v>11.37</v>
      </c>
      <c r="C82" s="36">
        <v>12.57</v>
      </c>
      <c r="D82" s="36">
        <v>10.53</v>
      </c>
      <c r="E82" s="36">
        <v>8.4700000000000006</v>
      </c>
      <c r="F82" s="36">
        <v>11.6</v>
      </c>
      <c r="G82" s="26">
        <v>9.77</v>
      </c>
    </row>
    <row r="83" spans="2:7">
      <c r="B83" s="24">
        <v>11.47</v>
      </c>
      <c r="C83" s="36">
        <v>10.63</v>
      </c>
      <c r="D83" s="36">
        <v>8.1</v>
      </c>
      <c r="E83" s="36">
        <v>15.73</v>
      </c>
      <c r="F83" s="36">
        <v>11.63</v>
      </c>
      <c r="G83" s="26">
        <v>10.6</v>
      </c>
    </row>
    <row r="84" spans="2:7">
      <c r="B84" s="24">
        <v>11.5</v>
      </c>
      <c r="C84" s="36">
        <v>10.87</v>
      </c>
      <c r="D84" s="36">
        <v>3.9</v>
      </c>
      <c r="E84" s="36">
        <v>14.53</v>
      </c>
      <c r="F84" s="36">
        <v>12.17</v>
      </c>
      <c r="G84" s="26">
        <v>5.93</v>
      </c>
    </row>
    <row r="85" spans="2:7">
      <c r="B85" s="24">
        <v>11.1</v>
      </c>
      <c r="C85" s="36">
        <v>11.5</v>
      </c>
      <c r="D85" s="36">
        <v>9.67</v>
      </c>
      <c r="E85" s="36">
        <v>16.8</v>
      </c>
      <c r="F85" s="36">
        <v>7.6</v>
      </c>
      <c r="G85" s="26">
        <v>10.1</v>
      </c>
    </row>
    <row r="86" spans="2:7">
      <c r="B86" s="24">
        <v>12.57</v>
      </c>
      <c r="C86" s="36">
        <v>12.37</v>
      </c>
      <c r="D86" s="36">
        <v>9.43</v>
      </c>
      <c r="E86" s="36">
        <v>15.57</v>
      </c>
      <c r="F86" s="36">
        <v>12.17</v>
      </c>
      <c r="G86" s="26">
        <v>10.07</v>
      </c>
    </row>
    <row r="87" spans="2:7">
      <c r="B87" s="24">
        <v>11.5</v>
      </c>
      <c r="C87" s="36">
        <v>11.27</v>
      </c>
      <c r="D87" s="36">
        <v>10.87</v>
      </c>
      <c r="E87" s="36">
        <v>16.600000000000001</v>
      </c>
      <c r="F87" s="36">
        <v>5.2</v>
      </c>
      <c r="G87" s="26">
        <v>11.2</v>
      </c>
    </row>
    <row r="88" spans="2:7">
      <c r="B88" s="24">
        <v>10.8</v>
      </c>
      <c r="C88" s="36">
        <v>12.43</v>
      </c>
      <c r="D88" s="36">
        <v>9.83</v>
      </c>
      <c r="E88" s="36">
        <v>14.6</v>
      </c>
      <c r="F88" s="36">
        <v>8.77</v>
      </c>
      <c r="G88" s="26">
        <v>9.77</v>
      </c>
    </row>
    <row r="89" spans="2:7">
      <c r="B89" s="24">
        <v>11.23</v>
      </c>
      <c r="C89" s="36">
        <v>11.9</v>
      </c>
      <c r="D89" s="36">
        <v>7.07</v>
      </c>
      <c r="E89" s="36">
        <v>15.57</v>
      </c>
      <c r="F89" s="36">
        <v>11.77</v>
      </c>
      <c r="G89" s="26">
        <v>10.67</v>
      </c>
    </row>
    <row r="90" spans="2:7">
      <c r="B90" s="24">
        <v>10.47</v>
      </c>
      <c r="C90" s="36">
        <v>12.6</v>
      </c>
      <c r="D90" s="36">
        <v>7.57</v>
      </c>
      <c r="E90" s="36">
        <v>16.329999999999998</v>
      </c>
      <c r="F90" s="36">
        <v>9.33</v>
      </c>
      <c r="G90" s="26">
        <v>12.23</v>
      </c>
    </row>
    <row r="91" spans="2:7">
      <c r="B91" s="24">
        <v>11.63</v>
      </c>
      <c r="C91" s="36">
        <v>11.63</v>
      </c>
      <c r="D91" s="36">
        <v>10.27</v>
      </c>
      <c r="E91" s="36">
        <v>6.93</v>
      </c>
      <c r="F91" s="36">
        <v>6.67</v>
      </c>
      <c r="G91" s="26">
        <v>10.029999999999999</v>
      </c>
    </row>
    <row r="92" spans="2:7">
      <c r="B92" s="24">
        <v>10.9</v>
      </c>
      <c r="C92" s="36">
        <v>11.1</v>
      </c>
      <c r="D92" s="36">
        <v>8.0299999999999994</v>
      </c>
      <c r="E92" s="36">
        <v>15.47</v>
      </c>
      <c r="F92" s="36">
        <v>8</v>
      </c>
      <c r="G92" s="26">
        <v>9.6300000000000008</v>
      </c>
    </row>
    <row r="93" spans="2:7">
      <c r="B93" s="24">
        <v>10.53</v>
      </c>
      <c r="C93" s="36">
        <v>11.37</v>
      </c>
      <c r="D93" s="36">
        <v>10.73</v>
      </c>
      <c r="E93" s="36">
        <v>17.8</v>
      </c>
      <c r="F93" s="36">
        <v>12.03</v>
      </c>
      <c r="G93" s="26">
        <v>10.1</v>
      </c>
    </row>
    <row r="94" spans="2:7">
      <c r="B94" s="24">
        <v>11.73</v>
      </c>
      <c r="C94" s="36">
        <v>11.07</v>
      </c>
      <c r="D94" s="36">
        <v>7.9</v>
      </c>
      <c r="E94" s="36">
        <v>17.63</v>
      </c>
      <c r="F94" s="36">
        <v>11.2</v>
      </c>
      <c r="G94" s="26">
        <v>11.3</v>
      </c>
    </row>
    <row r="95" spans="2:7">
      <c r="B95" s="24">
        <v>12.37</v>
      </c>
      <c r="C95" s="36">
        <v>12.2</v>
      </c>
      <c r="D95" s="36">
        <v>12.07</v>
      </c>
      <c r="E95" s="36">
        <v>17.100000000000001</v>
      </c>
      <c r="F95" s="36">
        <v>4.37</v>
      </c>
      <c r="G95" s="26">
        <v>9.57</v>
      </c>
    </row>
    <row r="96" spans="2:7">
      <c r="B96" s="24">
        <v>11.43</v>
      </c>
      <c r="C96" s="36">
        <v>10.7</v>
      </c>
      <c r="D96" s="36">
        <v>8.1300000000000008</v>
      </c>
      <c r="E96" s="36">
        <v>14.7</v>
      </c>
      <c r="F96" s="36">
        <v>11.17</v>
      </c>
      <c r="G96" s="26">
        <v>10.63</v>
      </c>
    </row>
    <row r="97" spans="2:10">
      <c r="B97" s="24">
        <v>10.4</v>
      </c>
      <c r="C97" s="36">
        <v>11.63</v>
      </c>
      <c r="D97" s="36">
        <v>8.9</v>
      </c>
      <c r="E97" s="36">
        <v>15.3</v>
      </c>
      <c r="F97" s="36">
        <v>11.83</v>
      </c>
      <c r="G97" s="26">
        <v>9.73</v>
      </c>
    </row>
    <row r="98" spans="2:10">
      <c r="B98" s="24">
        <v>11.13</v>
      </c>
      <c r="C98" s="36">
        <v>7</v>
      </c>
      <c r="D98" s="36">
        <v>10.43</v>
      </c>
      <c r="E98" s="36">
        <v>8.73</v>
      </c>
      <c r="F98" s="36">
        <v>11.67</v>
      </c>
      <c r="G98" s="26">
        <v>8.0299999999999994</v>
      </c>
    </row>
    <row r="99" spans="2:10">
      <c r="B99" s="24">
        <v>8.8000000000000007</v>
      </c>
      <c r="C99" s="36">
        <v>7.47</v>
      </c>
      <c r="D99" s="36">
        <v>9.3699999999999992</v>
      </c>
      <c r="E99" s="36">
        <v>16.27</v>
      </c>
      <c r="F99" s="36">
        <v>7.47</v>
      </c>
      <c r="G99" s="26">
        <v>8.67</v>
      </c>
    </row>
    <row r="100" spans="2:10">
      <c r="B100" s="24">
        <v>11.73</v>
      </c>
      <c r="C100" s="36">
        <v>10.93</v>
      </c>
      <c r="D100" s="36">
        <v>9.8699999999999992</v>
      </c>
      <c r="E100" s="36">
        <v>9.17</v>
      </c>
      <c r="F100" s="36">
        <v>11.1</v>
      </c>
      <c r="G100" s="26">
        <v>10</v>
      </c>
    </row>
    <row r="101" spans="2:10">
      <c r="B101" s="24">
        <v>11.57</v>
      </c>
      <c r="C101" s="36">
        <v>11.07</v>
      </c>
      <c r="D101" s="36">
        <v>8.6300000000000008</v>
      </c>
      <c r="E101" s="36">
        <v>10.8</v>
      </c>
      <c r="F101" s="36">
        <v>9.57</v>
      </c>
      <c r="G101" s="26">
        <v>11.1</v>
      </c>
    </row>
    <row r="102" spans="2:10">
      <c r="B102" s="27">
        <v>12.23</v>
      </c>
      <c r="C102" s="28">
        <v>10.67</v>
      </c>
      <c r="D102" s="28">
        <v>10.47</v>
      </c>
      <c r="E102" s="28">
        <v>8.27</v>
      </c>
      <c r="F102" s="28">
        <v>11.17</v>
      </c>
      <c r="G102" s="29">
        <v>9.6300000000000008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>
      <c r="B107" s="71" t="s">
        <v>19</v>
      </c>
      <c r="C107" s="79">
        <v>11.0718</v>
      </c>
      <c r="D107" s="79">
        <v>1.7359</v>
      </c>
      <c r="E107" s="79">
        <v>11.45</v>
      </c>
      <c r="F107" s="79">
        <v>10.7316</v>
      </c>
      <c r="G107" s="79">
        <v>11.412000000000001</v>
      </c>
      <c r="H107" s="81">
        <v>2.83</v>
      </c>
      <c r="I107" s="81">
        <v>13</v>
      </c>
      <c r="J107" s="72">
        <v>15.7</v>
      </c>
    </row>
    <row r="108" spans="2:10">
      <c r="B108" s="71" t="s">
        <v>20</v>
      </c>
      <c r="C108" s="79">
        <v>11.1807</v>
      </c>
      <c r="D108" s="79">
        <v>1.5774999999999999</v>
      </c>
      <c r="E108" s="79">
        <v>11.55</v>
      </c>
      <c r="F108" s="79">
        <v>10.871499999999999</v>
      </c>
      <c r="G108" s="79">
        <v>11.4899</v>
      </c>
      <c r="H108" s="81">
        <v>5.5</v>
      </c>
      <c r="I108" s="81">
        <v>15</v>
      </c>
      <c r="J108" s="72">
        <v>14.1</v>
      </c>
    </row>
    <row r="109" spans="2:10">
      <c r="B109" s="71" t="s">
        <v>3</v>
      </c>
      <c r="C109" s="79">
        <v>9.0736000000000008</v>
      </c>
      <c r="D109" s="79">
        <v>1.7885</v>
      </c>
      <c r="E109" s="79">
        <v>9.6199999999999992</v>
      </c>
      <c r="F109" s="79">
        <v>8.7231000000000005</v>
      </c>
      <c r="G109" s="79">
        <v>9.4240999999999993</v>
      </c>
      <c r="H109" s="81">
        <v>3.7</v>
      </c>
      <c r="I109" s="81">
        <v>12.7</v>
      </c>
      <c r="J109" s="72">
        <v>19.7</v>
      </c>
    </row>
    <row r="110" spans="2:10">
      <c r="B110" s="71" t="s">
        <v>21</v>
      </c>
      <c r="C110" s="79">
        <v>14.1983</v>
      </c>
      <c r="D110" s="79">
        <v>3.5705</v>
      </c>
      <c r="E110" s="79">
        <v>15.385</v>
      </c>
      <c r="F110" s="79">
        <v>13.4985</v>
      </c>
      <c r="G110" s="79">
        <v>14.898099999999999</v>
      </c>
      <c r="H110" s="81">
        <v>5.4</v>
      </c>
      <c r="I110" s="81">
        <v>25</v>
      </c>
      <c r="J110" s="72">
        <v>25.1</v>
      </c>
    </row>
    <row r="111" spans="2:10">
      <c r="B111" s="71" t="s">
        <v>22</v>
      </c>
      <c r="C111" s="79">
        <v>10.3971</v>
      </c>
      <c r="D111" s="79">
        <v>2.4239999999999999</v>
      </c>
      <c r="E111" s="79">
        <v>11.3</v>
      </c>
      <c r="F111" s="79">
        <v>9.9220000000000006</v>
      </c>
      <c r="G111" s="79">
        <v>10.872199999999999</v>
      </c>
      <c r="H111" s="81">
        <v>4.03</v>
      </c>
      <c r="I111" s="81">
        <v>18.43</v>
      </c>
      <c r="J111" s="72">
        <v>23.3</v>
      </c>
    </row>
    <row r="112" spans="2:10">
      <c r="B112" s="73" t="s">
        <v>6</v>
      </c>
      <c r="C112" s="80">
        <v>9.7307000000000006</v>
      </c>
      <c r="D112" s="80">
        <v>1.643</v>
      </c>
      <c r="E112" s="80">
        <v>10.085000000000001</v>
      </c>
      <c r="F112" s="80">
        <v>9.4086999999999996</v>
      </c>
      <c r="G112" s="80">
        <v>10.0527</v>
      </c>
      <c r="H112" s="82">
        <v>2.2000000000000002</v>
      </c>
      <c r="I112" s="82">
        <v>12.23</v>
      </c>
      <c r="J112" s="74">
        <v>16.899999999999999</v>
      </c>
    </row>
    <row r="113" spans="2:10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4.25">
      <c r="B117" s="77">
        <v>11.9971</v>
      </c>
      <c r="C117" s="78" t="s">
        <v>27</v>
      </c>
      <c r="D117" s="83" t="s">
        <v>28</v>
      </c>
      <c r="E117" s="66"/>
      <c r="F117" s="66"/>
      <c r="G117" s="66"/>
      <c r="H117" s="66"/>
      <c r="I117" s="66"/>
      <c r="J117" s="66"/>
    </row>
    <row r="118" spans="2:10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4.25">
      <c r="B122" s="87">
        <v>44.065800000000003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>
      <c r="B127" s="93" t="s">
        <v>19</v>
      </c>
      <c r="C127" s="95" t="s">
        <v>20</v>
      </c>
      <c r="D127" s="91">
        <v>-0.1089</v>
      </c>
      <c r="E127" s="91">
        <v>0.2346</v>
      </c>
      <c r="F127" s="91">
        <v>-0.57150000000000001</v>
      </c>
      <c r="G127" s="91">
        <v>0.35370000000000001</v>
      </c>
      <c r="H127" s="92">
        <v>0.64300000000000002</v>
      </c>
      <c r="I127" s="89" t="s">
        <v>40</v>
      </c>
      <c r="J127" s="66"/>
    </row>
    <row r="128" spans="2:10">
      <c r="B128" s="71" t="s">
        <v>19</v>
      </c>
      <c r="C128" s="96" t="s">
        <v>3</v>
      </c>
      <c r="D128" s="79">
        <v>1.9982</v>
      </c>
      <c r="E128" s="79">
        <v>0.2492</v>
      </c>
      <c r="F128" s="79">
        <v>1.5066999999999999</v>
      </c>
      <c r="G128" s="79">
        <v>2.4897</v>
      </c>
      <c r="H128" s="88" t="s">
        <v>27</v>
      </c>
      <c r="I128" s="90" t="s">
        <v>41</v>
      </c>
      <c r="J128" s="66"/>
    </row>
    <row r="129" spans="2:10">
      <c r="B129" s="71" t="s">
        <v>19</v>
      </c>
      <c r="C129" s="96" t="s">
        <v>21</v>
      </c>
      <c r="D129" s="79">
        <v>-3.1265000000000001</v>
      </c>
      <c r="E129" s="79">
        <v>0.39700000000000002</v>
      </c>
      <c r="F129" s="79">
        <v>-3.9113000000000002</v>
      </c>
      <c r="G129" s="79">
        <v>-2.3416999999999999</v>
      </c>
      <c r="H129" s="88" t="s">
        <v>27</v>
      </c>
      <c r="I129" s="90" t="s">
        <v>41</v>
      </c>
      <c r="J129" s="66"/>
    </row>
    <row r="130" spans="2:10">
      <c r="B130" s="71" t="s">
        <v>19</v>
      </c>
      <c r="C130" s="96" t="s">
        <v>22</v>
      </c>
      <c r="D130" s="79">
        <v>0.67469999999999997</v>
      </c>
      <c r="E130" s="79">
        <v>0.29809999999999998</v>
      </c>
      <c r="F130" s="79">
        <v>8.6400000000000005E-2</v>
      </c>
      <c r="G130" s="79">
        <v>1.2629999999999999</v>
      </c>
      <c r="H130" s="97">
        <v>2.4799999999999999E-2</v>
      </c>
      <c r="I130" s="90" t="s">
        <v>41</v>
      </c>
      <c r="J130" s="66"/>
    </row>
    <row r="131" spans="2:10">
      <c r="B131" s="71" t="s">
        <v>19</v>
      </c>
      <c r="C131" s="96" t="s">
        <v>6</v>
      </c>
      <c r="D131" s="79">
        <v>1.3411</v>
      </c>
      <c r="E131" s="79">
        <v>0.23899999999999999</v>
      </c>
      <c r="F131" s="79">
        <v>0.86970000000000003</v>
      </c>
      <c r="G131" s="79">
        <v>1.8125</v>
      </c>
      <c r="H131" s="97" t="s">
        <v>27</v>
      </c>
      <c r="I131" s="90" t="s">
        <v>41</v>
      </c>
      <c r="J131" s="66"/>
    </row>
    <row r="132" spans="2:10">
      <c r="B132" s="71" t="s">
        <v>20</v>
      </c>
      <c r="C132" s="96" t="s">
        <v>3</v>
      </c>
      <c r="D132" s="79">
        <v>2.1071</v>
      </c>
      <c r="E132" s="79">
        <v>0.23849999999999999</v>
      </c>
      <c r="F132" s="79">
        <v>1.6368</v>
      </c>
      <c r="G132" s="79">
        <v>2.5773999999999999</v>
      </c>
      <c r="H132" s="97" t="s">
        <v>27</v>
      </c>
      <c r="I132" s="90" t="s">
        <v>41</v>
      </c>
      <c r="J132" s="66"/>
    </row>
    <row r="133" spans="2:10">
      <c r="B133" s="71" t="s">
        <v>20</v>
      </c>
      <c r="C133" s="96" t="s">
        <v>21</v>
      </c>
      <c r="D133" s="79">
        <v>-3.0175999999999998</v>
      </c>
      <c r="E133" s="79">
        <v>0.39029999999999998</v>
      </c>
      <c r="F133" s="79">
        <v>-3.7894999999999999</v>
      </c>
      <c r="G133" s="79">
        <v>-2.2456999999999998</v>
      </c>
      <c r="H133" s="97" t="s">
        <v>27</v>
      </c>
      <c r="I133" s="90" t="s">
        <v>41</v>
      </c>
      <c r="J133" s="66"/>
    </row>
    <row r="134" spans="2:10">
      <c r="B134" s="71" t="s">
        <v>20</v>
      </c>
      <c r="C134" s="96" t="s">
        <v>22</v>
      </c>
      <c r="D134" s="79">
        <v>0.78359999999999996</v>
      </c>
      <c r="E134" s="79">
        <v>0.28920000000000001</v>
      </c>
      <c r="F134" s="79">
        <v>0.2127</v>
      </c>
      <c r="G134" s="79">
        <v>1.3545</v>
      </c>
      <c r="H134" s="97">
        <v>7.0000000000000001E-3</v>
      </c>
      <c r="I134" s="90" t="s">
        <v>41</v>
      </c>
      <c r="J134" s="66"/>
    </row>
    <row r="135" spans="2:10">
      <c r="B135" s="71" t="s">
        <v>20</v>
      </c>
      <c r="C135" s="96" t="s">
        <v>6</v>
      </c>
      <c r="D135" s="79">
        <v>1.45</v>
      </c>
      <c r="E135" s="79">
        <v>0.2278</v>
      </c>
      <c r="F135" s="79">
        <v>1.0007999999999999</v>
      </c>
      <c r="G135" s="79">
        <v>1.8992</v>
      </c>
      <c r="H135" s="97" t="s">
        <v>27</v>
      </c>
      <c r="I135" s="90" t="s">
        <v>41</v>
      </c>
      <c r="J135" s="66"/>
    </row>
    <row r="136" spans="2:10">
      <c r="B136" s="71" t="s">
        <v>3</v>
      </c>
      <c r="C136" s="96" t="s">
        <v>21</v>
      </c>
      <c r="D136" s="79">
        <v>-5.1246999999999998</v>
      </c>
      <c r="E136" s="79">
        <v>0.39929999999999999</v>
      </c>
      <c r="F136" s="79">
        <v>-5.9139999999999997</v>
      </c>
      <c r="G136" s="79">
        <v>-4.3353999999999999</v>
      </c>
      <c r="H136" s="97" t="s">
        <v>27</v>
      </c>
      <c r="I136" s="90" t="s">
        <v>41</v>
      </c>
      <c r="J136" s="66"/>
    </row>
    <row r="137" spans="2:10">
      <c r="B137" s="71" t="s">
        <v>3</v>
      </c>
      <c r="C137" s="96" t="s">
        <v>22</v>
      </c>
      <c r="D137" s="79">
        <v>-1.3234999999999999</v>
      </c>
      <c r="E137" s="79">
        <v>0.30120000000000002</v>
      </c>
      <c r="F137" s="79">
        <v>-1.9178999999999999</v>
      </c>
      <c r="G137" s="79">
        <v>-0.72909999999999997</v>
      </c>
      <c r="H137" s="97" t="s">
        <v>27</v>
      </c>
      <c r="I137" s="90" t="s">
        <v>41</v>
      </c>
      <c r="J137" s="66"/>
    </row>
    <row r="138" spans="2:10">
      <c r="B138" s="71" t="s">
        <v>3</v>
      </c>
      <c r="C138" s="96" t="s">
        <v>6</v>
      </c>
      <c r="D138" s="79">
        <v>-0.65710000000000002</v>
      </c>
      <c r="E138" s="79">
        <v>0.2429</v>
      </c>
      <c r="F138" s="79">
        <v>-1.1361000000000001</v>
      </c>
      <c r="G138" s="79">
        <v>-0.17810000000000001</v>
      </c>
      <c r="H138" s="97">
        <v>7.0000000000000001E-3</v>
      </c>
      <c r="I138" s="90" t="s">
        <v>41</v>
      </c>
      <c r="J138" s="66"/>
    </row>
    <row r="139" spans="2:10">
      <c r="B139" s="71" t="s">
        <v>21</v>
      </c>
      <c r="C139" s="96" t="s">
        <v>22</v>
      </c>
      <c r="D139" s="79">
        <v>3.8012000000000001</v>
      </c>
      <c r="E139" s="79">
        <v>0.43159999999999998</v>
      </c>
      <c r="F139" s="79">
        <v>2.9493999999999998</v>
      </c>
      <c r="G139" s="79">
        <v>4.6529999999999996</v>
      </c>
      <c r="H139" s="97" t="s">
        <v>27</v>
      </c>
      <c r="I139" s="90" t="s">
        <v>41</v>
      </c>
      <c r="J139" s="66"/>
    </row>
    <row r="140" spans="2:10">
      <c r="B140" s="71" t="s">
        <v>21</v>
      </c>
      <c r="C140" s="96" t="s">
        <v>6</v>
      </c>
      <c r="D140" s="79">
        <v>4.4676</v>
      </c>
      <c r="E140" s="79">
        <v>0.39300000000000002</v>
      </c>
      <c r="F140" s="79">
        <v>3.6905000000000001</v>
      </c>
      <c r="G140" s="79">
        <v>5.2446999999999999</v>
      </c>
      <c r="H140" s="97" t="s">
        <v>27</v>
      </c>
      <c r="I140" s="90" t="s">
        <v>41</v>
      </c>
      <c r="J140" s="66"/>
    </row>
    <row r="141" spans="2:10">
      <c r="B141" s="73" t="s">
        <v>22</v>
      </c>
      <c r="C141" s="94" t="s">
        <v>6</v>
      </c>
      <c r="D141" s="80">
        <v>0.66639999999999999</v>
      </c>
      <c r="E141" s="80">
        <v>0.2928</v>
      </c>
      <c r="F141" s="80">
        <v>8.8400000000000006E-2</v>
      </c>
      <c r="G141" s="80">
        <v>1.2444</v>
      </c>
      <c r="H141" s="98">
        <v>2.41E-2</v>
      </c>
      <c r="I141" s="85" t="s">
        <v>41</v>
      </c>
      <c r="J141" s="66"/>
    </row>
    <row r="142" spans="2:10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BC2C-8B75-474F-834F-B304BEC65E18}">
  <dimension ref="B1:J143"/>
  <sheetViews>
    <sheetView tabSelected="1" topLeftCell="A139" workbookViewId="0">
      <selection activeCell="A144" sqref="A144:XFD161"/>
    </sheetView>
  </sheetViews>
  <sheetFormatPr defaultRowHeight="15"/>
  <cols>
    <col min="2" max="2" width="11.85546875" bestFit="1" customWidth="1"/>
    <col min="3" max="3" width="9.42578125" bestFit="1" customWidth="1"/>
    <col min="4" max="4" width="15.85546875" bestFit="1" customWidth="1"/>
    <col min="5" max="5" width="11.42578125" bestFit="1" customWidth="1"/>
    <col min="6" max="6" width="13.85546875" bestFit="1" customWidth="1"/>
    <col min="7" max="7" width="15.140625" bestFit="1" customWidth="1"/>
    <col min="8" max="8" width="7.5703125" bestFit="1" customWidth="1"/>
    <col min="9" max="9" width="11.85546875" bestFit="1" customWidth="1"/>
    <col min="10" max="10" width="6.85546875" bestFit="1" customWidth="1"/>
  </cols>
  <sheetData>
    <row r="1" spans="2:7">
      <c r="B1" s="59" t="s">
        <v>50</v>
      </c>
      <c r="C1" s="54"/>
      <c r="D1" s="54"/>
      <c r="E1" s="54"/>
      <c r="F1" s="54"/>
      <c r="G1" s="55"/>
    </row>
    <row r="2" spans="2:7">
      <c r="B2" s="20" t="s">
        <v>1</v>
      </c>
      <c r="C2" s="20" t="s">
        <v>2</v>
      </c>
      <c r="D2" s="20" t="s">
        <v>3</v>
      </c>
      <c r="E2" s="20" t="s">
        <v>4</v>
      </c>
      <c r="F2" s="20" t="s">
        <v>5</v>
      </c>
      <c r="G2" s="20" t="s">
        <v>6</v>
      </c>
    </row>
    <row r="3" spans="2:7">
      <c r="B3" s="21">
        <v>0.75</v>
      </c>
      <c r="C3" s="22">
        <v>0.75</v>
      </c>
      <c r="D3" s="22">
        <v>0.8</v>
      </c>
      <c r="E3" s="22">
        <v>0.61</v>
      </c>
      <c r="F3" s="31">
        <v>0.56999999999999995</v>
      </c>
      <c r="G3" s="23">
        <v>0.88</v>
      </c>
    </row>
    <row r="4" spans="2:7">
      <c r="B4" s="24">
        <v>0.74</v>
      </c>
      <c r="C4" s="25">
        <v>0.78</v>
      </c>
      <c r="D4" s="25">
        <v>0.82</v>
      </c>
      <c r="E4" s="25">
        <v>0.52</v>
      </c>
      <c r="F4" s="32">
        <v>0.79</v>
      </c>
      <c r="G4" s="26">
        <v>0.84</v>
      </c>
    </row>
    <row r="5" spans="2:7">
      <c r="B5" s="24">
        <v>0.83</v>
      </c>
      <c r="C5" s="25">
        <v>0.71</v>
      </c>
      <c r="D5" s="25">
        <v>0.79</v>
      </c>
      <c r="E5" s="25">
        <v>0.57999999999999996</v>
      </c>
      <c r="F5" s="32">
        <v>0.72</v>
      </c>
      <c r="G5" s="26">
        <v>0.96</v>
      </c>
    </row>
    <row r="6" spans="2:7">
      <c r="B6" s="24">
        <v>0.79</v>
      </c>
      <c r="C6" s="25">
        <v>0.52</v>
      </c>
      <c r="D6" s="25">
        <v>0.88</v>
      </c>
      <c r="E6" s="25">
        <v>0.62</v>
      </c>
      <c r="F6" s="32">
        <v>0.6</v>
      </c>
      <c r="G6" s="26">
        <v>0.96</v>
      </c>
    </row>
    <row r="7" spans="2:7">
      <c r="B7" s="24">
        <v>0.81</v>
      </c>
      <c r="C7" s="25">
        <v>0.78</v>
      </c>
      <c r="D7" s="25">
        <v>0.72</v>
      </c>
      <c r="E7" s="25">
        <v>0.53</v>
      </c>
      <c r="F7" s="32">
        <v>0.71</v>
      </c>
      <c r="G7" s="26">
        <v>0.96</v>
      </c>
    </row>
    <row r="8" spans="2:7">
      <c r="B8" s="24">
        <v>0.7</v>
      </c>
      <c r="C8" s="25">
        <v>0.81</v>
      </c>
      <c r="D8" s="25">
        <v>0.67</v>
      </c>
      <c r="E8" s="25">
        <v>0.51</v>
      </c>
      <c r="F8" s="32">
        <v>0.75</v>
      </c>
      <c r="G8" s="26">
        <v>0.97</v>
      </c>
    </row>
    <row r="9" spans="2:7">
      <c r="B9" s="24">
        <v>0.82</v>
      </c>
      <c r="C9" s="25">
        <v>0.78</v>
      </c>
      <c r="D9" s="25">
        <v>0.9</v>
      </c>
      <c r="E9" s="25">
        <v>0.44</v>
      </c>
      <c r="F9" s="32">
        <v>0.51</v>
      </c>
      <c r="G9" s="26">
        <v>0.86</v>
      </c>
    </row>
    <row r="10" spans="2:7">
      <c r="B10" s="24">
        <v>0.76</v>
      </c>
      <c r="C10" s="25">
        <v>0.71</v>
      </c>
      <c r="D10" s="25">
        <v>0.69</v>
      </c>
      <c r="E10" s="25">
        <v>0.37</v>
      </c>
      <c r="F10" s="32">
        <v>0.74</v>
      </c>
      <c r="G10" s="26">
        <v>0.66</v>
      </c>
    </row>
    <row r="11" spans="2:7">
      <c r="B11" s="24">
        <v>0.73</v>
      </c>
      <c r="C11" s="25">
        <v>0.81</v>
      </c>
      <c r="D11" s="25">
        <v>0.5</v>
      </c>
      <c r="E11" s="25">
        <v>0.49</v>
      </c>
      <c r="F11" s="32">
        <v>0.78</v>
      </c>
      <c r="G11" s="26">
        <v>0.89</v>
      </c>
    </row>
    <row r="12" spans="2:7">
      <c r="B12" s="24">
        <v>0.76</v>
      </c>
      <c r="C12" s="25">
        <v>0.76</v>
      </c>
      <c r="D12" s="25">
        <v>0.79</v>
      </c>
      <c r="E12" s="25">
        <v>0.54</v>
      </c>
      <c r="F12" s="32">
        <v>0.56000000000000005</v>
      </c>
      <c r="G12" s="26">
        <v>0.86</v>
      </c>
    </row>
    <row r="13" spans="2:7">
      <c r="B13" s="24">
        <v>0.8</v>
      </c>
      <c r="C13" s="25">
        <v>0.74</v>
      </c>
      <c r="D13" s="25">
        <v>0.57999999999999996</v>
      </c>
      <c r="E13" s="25">
        <v>0.61</v>
      </c>
      <c r="F13" s="32">
        <v>0.8</v>
      </c>
      <c r="G13" s="26">
        <v>0.83</v>
      </c>
    </row>
    <row r="14" spans="2:7">
      <c r="B14" s="24">
        <v>0.75</v>
      </c>
      <c r="C14" s="25">
        <v>0.74</v>
      </c>
      <c r="D14" s="25">
        <v>0.84</v>
      </c>
      <c r="E14" s="25">
        <v>0.54</v>
      </c>
      <c r="F14" s="32">
        <v>0.79</v>
      </c>
      <c r="G14" s="26">
        <v>0.92</v>
      </c>
    </row>
    <row r="15" spans="2:7">
      <c r="B15" s="24">
        <v>0.77</v>
      </c>
      <c r="C15" s="25">
        <v>0.73</v>
      </c>
      <c r="D15" s="25">
        <v>0.22</v>
      </c>
      <c r="E15" s="25">
        <v>0.61</v>
      </c>
      <c r="F15" s="32">
        <v>0.68</v>
      </c>
      <c r="G15" s="26">
        <v>0.95</v>
      </c>
    </row>
    <row r="16" spans="2:7">
      <c r="B16" s="24">
        <v>0.68</v>
      </c>
      <c r="C16" s="25">
        <v>0.73</v>
      </c>
      <c r="D16" s="25">
        <v>0.83</v>
      </c>
      <c r="E16" s="25">
        <v>0.52</v>
      </c>
      <c r="F16" s="32">
        <v>0.78</v>
      </c>
      <c r="G16" s="26">
        <v>0.84</v>
      </c>
    </row>
    <row r="17" spans="2:7">
      <c r="B17" s="24">
        <v>0.72</v>
      </c>
      <c r="C17" s="25">
        <v>0.68</v>
      </c>
      <c r="D17" s="25">
        <v>0.78</v>
      </c>
      <c r="E17" s="25">
        <v>7.0000000000000007E-2</v>
      </c>
      <c r="F17" s="32">
        <v>0.78</v>
      </c>
      <c r="G17" s="26">
        <v>0.85</v>
      </c>
    </row>
    <row r="18" spans="2:7">
      <c r="B18" s="24">
        <v>0.8</v>
      </c>
      <c r="C18" s="25">
        <v>0.77</v>
      </c>
      <c r="D18" s="25">
        <v>0.75</v>
      </c>
      <c r="E18" s="25">
        <v>0.43</v>
      </c>
      <c r="F18" s="32">
        <v>0.72</v>
      </c>
      <c r="G18" s="26">
        <v>0.89</v>
      </c>
    </row>
    <row r="19" spans="2:7">
      <c r="B19" s="24">
        <v>0.78</v>
      </c>
      <c r="C19" s="25">
        <v>0.78</v>
      </c>
      <c r="D19" s="25">
        <v>0.83</v>
      </c>
      <c r="E19" s="25">
        <v>0.5</v>
      </c>
      <c r="F19" s="32">
        <v>0.67</v>
      </c>
      <c r="G19" s="26">
        <v>0.85</v>
      </c>
    </row>
    <row r="20" spans="2:7">
      <c r="B20" s="24">
        <v>0.82</v>
      </c>
      <c r="C20" s="25">
        <v>0.78</v>
      </c>
      <c r="D20" s="25">
        <v>0.88</v>
      </c>
      <c r="E20" s="25">
        <v>0.61</v>
      </c>
      <c r="F20" s="32">
        <v>0.77</v>
      </c>
      <c r="G20" s="26">
        <v>0.82</v>
      </c>
    </row>
    <row r="21" spans="2:7">
      <c r="B21" s="24">
        <v>0.75</v>
      </c>
      <c r="C21" s="25">
        <v>0.75</v>
      </c>
      <c r="D21" s="25">
        <v>0.82</v>
      </c>
      <c r="E21" s="25">
        <v>0.28999999999999998</v>
      </c>
      <c r="F21" s="32">
        <v>0.72</v>
      </c>
      <c r="G21" s="26">
        <v>0.9</v>
      </c>
    </row>
    <row r="22" spans="2:7">
      <c r="B22" s="24">
        <v>0.77</v>
      </c>
      <c r="C22" s="25">
        <v>0.74</v>
      </c>
      <c r="D22" s="25">
        <v>0.84</v>
      </c>
      <c r="E22" s="25">
        <v>0.6</v>
      </c>
      <c r="F22" s="32">
        <v>0.75</v>
      </c>
      <c r="G22" s="26">
        <v>0.86</v>
      </c>
    </row>
    <row r="23" spans="2:7">
      <c r="B23" s="24">
        <v>0.78</v>
      </c>
      <c r="C23" s="25">
        <v>0.8</v>
      </c>
      <c r="D23" s="25">
        <v>0.87</v>
      </c>
      <c r="E23" s="25">
        <v>0.53</v>
      </c>
      <c r="F23" s="32">
        <v>0.74</v>
      </c>
      <c r="G23" s="26">
        <v>0.93</v>
      </c>
    </row>
    <row r="24" spans="2:7">
      <c r="B24" s="24">
        <v>0.71</v>
      </c>
      <c r="C24" s="25">
        <v>0.72</v>
      </c>
      <c r="D24" s="25">
        <v>0.83</v>
      </c>
      <c r="E24" s="25">
        <v>0.54</v>
      </c>
      <c r="F24" s="32">
        <v>0.74</v>
      </c>
      <c r="G24" s="26">
        <v>0.94</v>
      </c>
    </row>
    <row r="25" spans="2:7">
      <c r="B25" s="24">
        <v>0.79</v>
      </c>
      <c r="C25" s="25">
        <v>0.82</v>
      </c>
      <c r="D25" s="25">
        <v>0.87</v>
      </c>
      <c r="E25" s="25">
        <v>0.61</v>
      </c>
      <c r="F25" s="32">
        <v>0.78</v>
      </c>
      <c r="G25" s="26">
        <v>0.81</v>
      </c>
    </row>
    <row r="26" spans="2:7">
      <c r="B26" s="24">
        <v>0.71</v>
      </c>
      <c r="C26" s="25">
        <v>0.79</v>
      </c>
      <c r="D26" s="25">
        <v>0.48</v>
      </c>
      <c r="E26" s="25">
        <v>0.52</v>
      </c>
      <c r="F26" s="32">
        <v>0.79</v>
      </c>
      <c r="G26" s="26">
        <v>0.91</v>
      </c>
    </row>
    <row r="27" spans="2:7">
      <c r="B27" s="24">
        <v>0.8</v>
      </c>
      <c r="C27" s="25">
        <v>0.78</v>
      </c>
      <c r="D27" s="25">
        <v>0.84</v>
      </c>
      <c r="E27" s="25">
        <v>0.54</v>
      </c>
      <c r="F27" s="32">
        <v>0.75</v>
      </c>
      <c r="G27" s="26">
        <v>0.82</v>
      </c>
    </row>
    <row r="28" spans="2:7">
      <c r="B28" s="24">
        <v>0.78</v>
      </c>
      <c r="C28" s="25">
        <v>0.78</v>
      </c>
      <c r="D28" s="25">
        <v>0.73</v>
      </c>
      <c r="E28" s="25">
        <v>0.56999999999999995</v>
      </c>
      <c r="F28" s="32">
        <v>0.75</v>
      </c>
      <c r="G28" s="26">
        <v>0.92</v>
      </c>
    </row>
    <row r="29" spans="2:7">
      <c r="B29" s="24">
        <v>0.76</v>
      </c>
      <c r="C29" s="25">
        <v>0.82</v>
      </c>
      <c r="D29" s="25">
        <v>0.89</v>
      </c>
      <c r="E29" s="25">
        <v>0.59</v>
      </c>
      <c r="F29" s="32">
        <v>0.79</v>
      </c>
      <c r="G29" s="26">
        <v>0.92</v>
      </c>
    </row>
    <row r="30" spans="2:7">
      <c r="B30" s="24">
        <v>0.8</v>
      </c>
      <c r="C30" s="25">
        <v>0.77</v>
      </c>
      <c r="D30" s="25">
        <v>0.75</v>
      </c>
      <c r="E30" s="25">
        <v>0.53</v>
      </c>
      <c r="F30" s="32">
        <v>0.8</v>
      </c>
      <c r="G30" s="26">
        <v>0.84</v>
      </c>
    </row>
    <row r="31" spans="2:7">
      <c r="B31" s="24">
        <v>0.84</v>
      </c>
      <c r="C31" s="25">
        <v>0.8</v>
      </c>
      <c r="D31" s="25">
        <v>0.76</v>
      </c>
      <c r="E31" s="25">
        <v>0.54</v>
      </c>
      <c r="F31" s="32">
        <v>0.85</v>
      </c>
      <c r="G31" s="26">
        <v>0.74</v>
      </c>
    </row>
    <row r="32" spans="2:7">
      <c r="B32" s="24">
        <v>0.76</v>
      </c>
      <c r="C32" s="25">
        <v>0.61</v>
      </c>
      <c r="D32" s="25">
        <v>0.7</v>
      </c>
      <c r="E32" s="25">
        <v>0.56999999999999995</v>
      </c>
      <c r="F32" s="32">
        <v>0.56999999999999995</v>
      </c>
      <c r="G32" s="26">
        <v>0.94</v>
      </c>
    </row>
    <row r="33" spans="2:7">
      <c r="B33" s="24">
        <v>0.73</v>
      </c>
      <c r="C33" s="25">
        <v>0.7</v>
      </c>
      <c r="D33" s="25">
        <v>0.68</v>
      </c>
      <c r="E33" s="25">
        <v>0.59</v>
      </c>
      <c r="F33" s="32">
        <v>0.71</v>
      </c>
      <c r="G33" s="26">
        <v>0.96</v>
      </c>
    </row>
    <row r="34" spans="2:7">
      <c r="B34" s="24">
        <v>0.71</v>
      </c>
      <c r="C34" s="25">
        <v>0.73</v>
      </c>
      <c r="D34" s="25">
        <v>0.77</v>
      </c>
      <c r="E34" s="25">
        <v>0.55000000000000004</v>
      </c>
      <c r="F34" s="32">
        <v>0.81</v>
      </c>
      <c r="G34" s="26">
        <v>0.85</v>
      </c>
    </row>
    <row r="35" spans="2:7">
      <c r="B35" s="24">
        <v>0.59</v>
      </c>
      <c r="C35" s="25">
        <v>0.44</v>
      </c>
      <c r="D35" s="25">
        <v>0.74</v>
      </c>
      <c r="E35" s="25">
        <v>0.57999999999999996</v>
      </c>
      <c r="F35" s="32">
        <v>0.71</v>
      </c>
      <c r="G35" s="26">
        <v>0.89</v>
      </c>
    </row>
    <row r="36" spans="2:7">
      <c r="B36" s="24">
        <v>0.81</v>
      </c>
      <c r="C36" s="25">
        <v>0.78</v>
      </c>
      <c r="D36" s="25">
        <v>0.82</v>
      </c>
      <c r="E36" s="25">
        <v>0.45</v>
      </c>
      <c r="F36" s="32">
        <v>0.79</v>
      </c>
      <c r="G36" s="26">
        <v>0.96</v>
      </c>
    </row>
    <row r="37" spans="2:7">
      <c r="B37" s="24">
        <v>0.76</v>
      </c>
      <c r="C37" s="25">
        <v>0.78</v>
      </c>
      <c r="D37" s="25">
        <v>0.79</v>
      </c>
      <c r="E37" s="25">
        <v>0.48</v>
      </c>
      <c r="F37" s="32">
        <v>0.76</v>
      </c>
      <c r="G37" s="26">
        <v>0.88</v>
      </c>
    </row>
    <row r="38" spans="2:7">
      <c r="B38" s="24">
        <v>0.86</v>
      </c>
      <c r="C38" s="25">
        <v>0.82</v>
      </c>
      <c r="D38" s="25">
        <v>0.79</v>
      </c>
      <c r="E38" s="25">
        <v>0.54</v>
      </c>
      <c r="F38" s="32">
        <v>0.75</v>
      </c>
      <c r="G38" s="26">
        <v>0.87</v>
      </c>
    </row>
    <row r="39" spans="2:7">
      <c r="B39" s="24">
        <v>0.7</v>
      </c>
      <c r="C39" s="25">
        <v>0.75</v>
      </c>
      <c r="D39" s="25">
        <v>0.69</v>
      </c>
      <c r="E39" s="25">
        <v>0.56999999999999995</v>
      </c>
      <c r="F39" s="32">
        <v>0.44</v>
      </c>
      <c r="G39" s="26">
        <v>0.83</v>
      </c>
    </row>
    <row r="40" spans="2:7">
      <c r="B40" s="24">
        <v>0.76</v>
      </c>
      <c r="C40" s="25">
        <v>0.74</v>
      </c>
      <c r="D40" s="25">
        <v>0.9</v>
      </c>
      <c r="E40" s="25">
        <v>0.57999999999999996</v>
      </c>
      <c r="F40" s="32">
        <v>0.79</v>
      </c>
      <c r="G40" s="26">
        <v>0.86</v>
      </c>
    </row>
    <row r="41" spans="2:7">
      <c r="B41" s="24">
        <v>0.83</v>
      </c>
      <c r="C41" s="25">
        <v>0.78</v>
      </c>
      <c r="D41" s="25">
        <v>0.76</v>
      </c>
      <c r="E41" s="25">
        <v>0.54</v>
      </c>
      <c r="F41" s="32">
        <v>0.76</v>
      </c>
      <c r="G41" s="26">
        <v>0.92</v>
      </c>
    </row>
    <row r="42" spans="2:7">
      <c r="B42" s="24">
        <v>0.78</v>
      </c>
      <c r="C42" s="25">
        <v>0.74</v>
      </c>
      <c r="D42" s="25">
        <v>0.84</v>
      </c>
      <c r="E42" s="25">
        <v>0.49</v>
      </c>
      <c r="F42" s="32">
        <v>0.13</v>
      </c>
      <c r="G42" s="26">
        <v>0.87</v>
      </c>
    </row>
    <row r="43" spans="2:7">
      <c r="B43" s="24">
        <v>0.74</v>
      </c>
      <c r="C43" s="25">
        <v>0.75</v>
      </c>
      <c r="D43" s="25">
        <v>0.86</v>
      </c>
      <c r="E43" s="25">
        <v>0.6</v>
      </c>
      <c r="F43" s="32">
        <v>0.68</v>
      </c>
      <c r="G43" s="26">
        <v>0.85</v>
      </c>
    </row>
    <row r="44" spans="2:7">
      <c r="B44" s="24">
        <v>0.66</v>
      </c>
      <c r="C44" s="25">
        <v>0.77</v>
      </c>
      <c r="D44" s="25">
        <v>0.87</v>
      </c>
      <c r="E44" s="25">
        <v>0.59</v>
      </c>
      <c r="F44" s="32">
        <v>0.6</v>
      </c>
      <c r="G44" s="26">
        <v>0.94</v>
      </c>
    </row>
    <row r="45" spans="2:7">
      <c r="B45" s="24">
        <v>0.72</v>
      </c>
      <c r="C45" s="25">
        <v>0.81</v>
      </c>
      <c r="D45" s="25">
        <v>0.87</v>
      </c>
      <c r="E45" s="25">
        <v>0.41</v>
      </c>
      <c r="F45" s="32">
        <v>0.82</v>
      </c>
      <c r="G45" s="26">
        <v>0.95</v>
      </c>
    </row>
    <row r="46" spans="2:7">
      <c r="B46" s="24">
        <v>0.74</v>
      </c>
      <c r="C46" s="25">
        <v>0.72</v>
      </c>
      <c r="D46" s="25">
        <v>0.8</v>
      </c>
      <c r="E46" s="25">
        <v>0.52</v>
      </c>
      <c r="F46" s="32">
        <v>0.77</v>
      </c>
      <c r="G46" s="26">
        <v>0.82</v>
      </c>
    </row>
    <row r="47" spans="2:7">
      <c r="B47" s="24">
        <v>0.8</v>
      </c>
      <c r="C47" s="25">
        <v>0.78</v>
      </c>
      <c r="D47" s="25">
        <v>0.86</v>
      </c>
      <c r="E47" s="25">
        <v>0.51</v>
      </c>
      <c r="F47" s="32">
        <v>0.86</v>
      </c>
      <c r="G47" s="26">
        <v>0.96</v>
      </c>
    </row>
    <row r="48" spans="2:7">
      <c r="B48" s="24">
        <v>0.77</v>
      </c>
      <c r="C48" s="25">
        <v>0.75</v>
      </c>
      <c r="D48" s="25">
        <v>0.71</v>
      </c>
      <c r="E48" s="25">
        <v>0.61</v>
      </c>
      <c r="F48" s="32">
        <v>0.78</v>
      </c>
      <c r="G48" s="26">
        <v>0.88</v>
      </c>
    </row>
    <row r="49" spans="2:7">
      <c r="B49" s="24">
        <v>0.72</v>
      </c>
      <c r="C49" s="25">
        <v>0.76</v>
      </c>
      <c r="D49" s="25">
        <v>0.74</v>
      </c>
      <c r="E49" s="25">
        <v>0.52</v>
      </c>
      <c r="F49" s="32">
        <v>0.67</v>
      </c>
      <c r="G49" s="26">
        <v>0.6</v>
      </c>
    </row>
    <row r="50" spans="2:7">
      <c r="B50" s="24">
        <v>0.77</v>
      </c>
      <c r="C50" s="25">
        <v>0.8</v>
      </c>
      <c r="D50" s="25">
        <v>0.86</v>
      </c>
      <c r="E50" s="25">
        <v>0.6</v>
      </c>
      <c r="F50" s="32">
        <v>0.74</v>
      </c>
      <c r="G50" s="26">
        <v>0.9</v>
      </c>
    </row>
    <row r="51" spans="2:7">
      <c r="B51" s="24">
        <v>0.78</v>
      </c>
      <c r="C51" s="25">
        <v>0.77</v>
      </c>
      <c r="D51" s="25">
        <v>0.87</v>
      </c>
      <c r="E51" s="25">
        <v>0.47</v>
      </c>
      <c r="F51" s="32">
        <v>0.73</v>
      </c>
      <c r="G51" s="26">
        <v>0.86</v>
      </c>
    </row>
    <row r="52" spans="2:7">
      <c r="B52" s="24">
        <v>0.8</v>
      </c>
      <c r="C52" s="25">
        <v>0.72</v>
      </c>
      <c r="D52" s="25">
        <v>0.73</v>
      </c>
      <c r="E52" s="25">
        <v>0.55000000000000004</v>
      </c>
      <c r="F52" s="32">
        <v>0.8</v>
      </c>
      <c r="G52" s="26">
        <v>0.88</v>
      </c>
    </row>
    <row r="53" spans="2:7">
      <c r="B53" s="24">
        <v>0.63</v>
      </c>
      <c r="C53" s="25">
        <v>0.76</v>
      </c>
      <c r="D53" s="25">
        <v>0.74</v>
      </c>
      <c r="E53" s="25">
        <v>0.63</v>
      </c>
      <c r="F53" s="32">
        <v>0.78</v>
      </c>
      <c r="G53" s="26">
        <v>0.84</v>
      </c>
    </row>
    <row r="54" spans="2:7">
      <c r="B54" s="24">
        <v>0.81</v>
      </c>
      <c r="C54" s="25">
        <v>0.79</v>
      </c>
      <c r="D54" s="25">
        <v>0.84</v>
      </c>
      <c r="E54" s="25">
        <v>0.55000000000000004</v>
      </c>
      <c r="F54" s="32">
        <v>0.71</v>
      </c>
      <c r="G54" s="26">
        <v>0.8</v>
      </c>
    </row>
    <row r="55" spans="2:7">
      <c r="B55" s="24">
        <v>0.76</v>
      </c>
      <c r="C55" s="25">
        <v>0.84</v>
      </c>
      <c r="D55" s="25">
        <v>0.7</v>
      </c>
      <c r="E55" s="25">
        <v>0.57999999999999996</v>
      </c>
      <c r="F55" s="32">
        <v>0.82</v>
      </c>
      <c r="G55" s="26">
        <v>0.91</v>
      </c>
    </row>
    <row r="56" spans="2:7">
      <c r="B56" s="24">
        <v>0.77</v>
      </c>
      <c r="C56" s="25">
        <v>0.7</v>
      </c>
      <c r="D56" s="25">
        <v>0.79</v>
      </c>
      <c r="E56" s="25">
        <v>0.55000000000000004</v>
      </c>
      <c r="F56" s="32">
        <v>0.73</v>
      </c>
      <c r="G56" s="26">
        <v>0.86</v>
      </c>
    </row>
    <row r="57" spans="2:7">
      <c r="B57" s="24">
        <v>0.79</v>
      </c>
      <c r="C57" s="25">
        <v>0.78</v>
      </c>
      <c r="D57" s="25">
        <v>0.76</v>
      </c>
      <c r="E57" s="25">
        <v>0.52</v>
      </c>
      <c r="F57" s="32">
        <v>0.74</v>
      </c>
      <c r="G57" s="26">
        <v>0.7</v>
      </c>
    </row>
    <row r="58" spans="2:7">
      <c r="B58" s="24">
        <v>0.83</v>
      </c>
      <c r="C58" s="25">
        <v>0.82</v>
      </c>
      <c r="D58" s="25">
        <v>0.84</v>
      </c>
      <c r="E58" s="25">
        <v>0.55000000000000004</v>
      </c>
      <c r="F58" s="32">
        <v>0.74</v>
      </c>
      <c r="G58" s="26">
        <v>0.86</v>
      </c>
    </row>
    <row r="59" spans="2:7">
      <c r="B59" s="24">
        <v>0.75</v>
      </c>
      <c r="C59" s="25">
        <v>0.72</v>
      </c>
      <c r="D59" s="25">
        <v>0.82</v>
      </c>
      <c r="E59" s="25">
        <v>0.52</v>
      </c>
      <c r="F59" s="32">
        <v>0.74</v>
      </c>
      <c r="G59" s="26">
        <v>0.89</v>
      </c>
    </row>
    <row r="60" spans="2:7">
      <c r="B60" s="24">
        <v>0.79</v>
      </c>
      <c r="C60" s="25">
        <v>0.79</v>
      </c>
      <c r="D60" s="25">
        <v>0.78</v>
      </c>
      <c r="E60" s="25">
        <v>0.54</v>
      </c>
      <c r="F60" s="32">
        <v>0.71</v>
      </c>
      <c r="G60" s="26">
        <v>0.91</v>
      </c>
    </row>
    <row r="61" spans="2:7">
      <c r="B61" s="24">
        <v>0.79</v>
      </c>
      <c r="C61" s="25">
        <v>0.75</v>
      </c>
      <c r="D61" s="25">
        <v>0.83</v>
      </c>
      <c r="E61" s="25">
        <v>0.54</v>
      </c>
      <c r="F61" s="32">
        <v>0.65</v>
      </c>
      <c r="G61" s="26">
        <v>0.87</v>
      </c>
    </row>
    <row r="62" spans="2:7">
      <c r="B62" s="24">
        <v>0.81</v>
      </c>
      <c r="C62" s="25">
        <v>0.75</v>
      </c>
      <c r="D62" s="25">
        <v>0.83</v>
      </c>
      <c r="E62" s="25">
        <v>0.56000000000000005</v>
      </c>
      <c r="F62" s="32">
        <v>0.78</v>
      </c>
      <c r="G62" s="26">
        <v>0.92</v>
      </c>
    </row>
    <row r="63" spans="2:7">
      <c r="B63" s="24">
        <v>0.84</v>
      </c>
      <c r="C63" s="25">
        <v>0.76</v>
      </c>
      <c r="D63" s="25">
        <v>0.86</v>
      </c>
      <c r="E63" s="25">
        <v>0.55000000000000004</v>
      </c>
      <c r="F63" s="32">
        <v>0.82</v>
      </c>
      <c r="G63" s="26">
        <v>0.87</v>
      </c>
    </row>
    <row r="64" spans="2:7">
      <c r="B64" s="24">
        <v>0.75</v>
      </c>
      <c r="C64" s="25">
        <v>0.84</v>
      </c>
      <c r="D64" s="25">
        <v>0.72</v>
      </c>
      <c r="E64" s="25">
        <v>0.55000000000000004</v>
      </c>
      <c r="F64" s="32">
        <v>0.76</v>
      </c>
      <c r="G64" s="26">
        <v>0.95</v>
      </c>
    </row>
    <row r="65" spans="2:7">
      <c r="B65" s="24">
        <v>0.78</v>
      </c>
      <c r="C65" s="25">
        <v>0.72</v>
      </c>
      <c r="D65" s="25">
        <v>0.78</v>
      </c>
      <c r="E65" s="25">
        <v>0.5</v>
      </c>
      <c r="F65" s="32">
        <v>0.75</v>
      </c>
      <c r="G65" s="26">
        <v>0.82</v>
      </c>
    </row>
    <row r="66" spans="2:7">
      <c r="B66" s="24">
        <v>0.86</v>
      </c>
      <c r="C66" s="25">
        <v>0.8</v>
      </c>
      <c r="D66" s="25">
        <v>0.65</v>
      </c>
      <c r="E66" s="25">
        <v>0.51</v>
      </c>
      <c r="F66" s="32">
        <v>0.79</v>
      </c>
      <c r="G66" s="26">
        <v>0.76</v>
      </c>
    </row>
    <row r="67" spans="2:7">
      <c r="B67" s="24">
        <v>0.69</v>
      </c>
      <c r="C67" s="25">
        <v>0.1</v>
      </c>
      <c r="D67" s="25">
        <v>0.88</v>
      </c>
      <c r="E67" s="25">
        <v>0.52</v>
      </c>
      <c r="F67" s="32">
        <v>0.69</v>
      </c>
      <c r="G67" s="26">
        <v>0.82</v>
      </c>
    </row>
    <row r="68" spans="2:7">
      <c r="B68" s="24">
        <v>0.64</v>
      </c>
      <c r="C68" s="25">
        <v>0.8</v>
      </c>
      <c r="D68" s="25">
        <v>0.77</v>
      </c>
      <c r="E68" s="25">
        <v>0.53</v>
      </c>
      <c r="F68" s="32">
        <v>0.75</v>
      </c>
      <c r="G68" s="26">
        <v>0.86</v>
      </c>
    </row>
    <row r="69" spans="2:7">
      <c r="B69" s="24">
        <v>0.8</v>
      </c>
      <c r="C69" s="25">
        <v>0.8</v>
      </c>
      <c r="D69" s="25">
        <v>0.84</v>
      </c>
      <c r="E69" s="25">
        <v>0.56000000000000005</v>
      </c>
      <c r="F69" s="32">
        <v>0.82</v>
      </c>
      <c r="G69" s="26">
        <v>0.82</v>
      </c>
    </row>
    <row r="70" spans="2:7">
      <c r="B70" s="24">
        <v>0.82</v>
      </c>
      <c r="C70" s="25">
        <v>0.73</v>
      </c>
      <c r="D70" s="25">
        <v>0.68</v>
      </c>
      <c r="E70" s="25">
        <v>0.4</v>
      </c>
      <c r="F70" s="32">
        <v>0.64</v>
      </c>
      <c r="G70" s="26">
        <v>0.83</v>
      </c>
    </row>
    <row r="71" spans="2:7">
      <c r="B71" s="24">
        <v>0.75</v>
      </c>
      <c r="C71" s="25">
        <v>0.76</v>
      </c>
      <c r="D71" s="25">
        <v>0.78</v>
      </c>
      <c r="E71" s="25">
        <v>0.56000000000000005</v>
      </c>
      <c r="F71" s="32">
        <v>0.71</v>
      </c>
      <c r="G71" s="26">
        <v>0.95</v>
      </c>
    </row>
    <row r="72" spans="2:7">
      <c r="B72" s="24">
        <v>0.75</v>
      </c>
      <c r="C72" s="25">
        <v>0.76</v>
      </c>
      <c r="D72" s="25">
        <v>0.85</v>
      </c>
      <c r="E72" s="25">
        <v>0.53</v>
      </c>
      <c r="F72" s="32">
        <v>0.75</v>
      </c>
      <c r="G72" s="26">
        <v>0.86</v>
      </c>
    </row>
    <row r="73" spans="2:7">
      <c r="B73" s="24">
        <v>0.83</v>
      </c>
      <c r="C73" s="25">
        <v>0.81</v>
      </c>
      <c r="D73" s="25">
        <v>0.78</v>
      </c>
      <c r="E73" s="25">
        <v>0.55000000000000004</v>
      </c>
      <c r="F73" s="32">
        <v>0.77</v>
      </c>
      <c r="G73" s="26">
        <v>0.92</v>
      </c>
    </row>
    <row r="74" spans="2:7">
      <c r="B74" s="24">
        <v>0.76</v>
      </c>
      <c r="C74" s="25">
        <v>0.84</v>
      </c>
      <c r="D74" s="25">
        <v>0.81</v>
      </c>
      <c r="E74" s="25">
        <v>0.46</v>
      </c>
      <c r="F74" s="32">
        <v>0.73</v>
      </c>
      <c r="G74" s="26">
        <v>0.86</v>
      </c>
    </row>
    <row r="75" spans="2:7">
      <c r="B75" s="24">
        <v>0.76</v>
      </c>
      <c r="C75" s="25">
        <v>0.76</v>
      </c>
      <c r="D75" s="25">
        <v>0.8</v>
      </c>
      <c r="E75" s="25">
        <v>0.56999999999999995</v>
      </c>
      <c r="F75" s="32">
        <v>0.86</v>
      </c>
      <c r="G75" s="26">
        <v>0.93</v>
      </c>
    </row>
    <row r="76" spans="2:7">
      <c r="B76" s="24">
        <v>0.76</v>
      </c>
      <c r="C76" s="25">
        <v>0.68</v>
      </c>
      <c r="D76" s="25">
        <v>0.53</v>
      </c>
      <c r="E76" s="25">
        <v>0.56999999999999995</v>
      </c>
      <c r="F76" s="32">
        <v>0.77</v>
      </c>
      <c r="G76" s="26">
        <v>0.92</v>
      </c>
    </row>
    <row r="77" spans="2:7">
      <c r="B77" s="24">
        <v>0.86</v>
      </c>
      <c r="C77" s="25">
        <v>0.79</v>
      </c>
      <c r="D77" s="25">
        <v>0.89</v>
      </c>
      <c r="E77" s="25">
        <v>0.54</v>
      </c>
      <c r="F77" s="32">
        <v>0.72</v>
      </c>
      <c r="G77" s="26">
        <v>0.93</v>
      </c>
    </row>
    <row r="78" spans="2:7">
      <c r="B78" s="24">
        <v>0.76</v>
      </c>
      <c r="C78" s="25">
        <v>0.79</v>
      </c>
      <c r="D78" s="25">
        <v>0.75</v>
      </c>
      <c r="E78" s="25">
        <v>0.61</v>
      </c>
      <c r="F78" s="32">
        <v>0.75</v>
      </c>
      <c r="G78" s="26">
        <v>0.78</v>
      </c>
    </row>
    <row r="79" spans="2:7">
      <c r="B79" s="24">
        <v>0.85</v>
      </c>
      <c r="C79" s="25">
        <v>0.82</v>
      </c>
      <c r="D79" s="25">
        <v>0.81</v>
      </c>
      <c r="E79" s="25">
        <v>0.55000000000000004</v>
      </c>
      <c r="F79" s="32">
        <v>0.74</v>
      </c>
      <c r="G79" s="26">
        <v>0.81</v>
      </c>
    </row>
    <row r="80" spans="2:7">
      <c r="B80" s="24">
        <v>0.82</v>
      </c>
      <c r="C80" s="25">
        <v>0.81</v>
      </c>
      <c r="D80" s="25">
        <v>0.64</v>
      </c>
      <c r="E80" s="25">
        <v>0.64</v>
      </c>
      <c r="F80" s="32">
        <v>0.77</v>
      </c>
      <c r="G80" s="26">
        <v>0.92</v>
      </c>
    </row>
    <row r="81" spans="2:7">
      <c r="B81" s="24">
        <v>0.74</v>
      </c>
      <c r="C81" s="25">
        <v>0.77</v>
      </c>
      <c r="D81" s="25">
        <v>0.86</v>
      </c>
      <c r="E81" s="25">
        <v>0.41</v>
      </c>
      <c r="F81" s="32">
        <v>0.65</v>
      </c>
      <c r="G81" s="26">
        <v>0.81</v>
      </c>
    </row>
    <row r="82" spans="2:7">
      <c r="B82" s="24">
        <v>0.79</v>
      </c>
      <c r="C82" s="25">
        <v>0.72</v>
      </c>
      <c r="D82" s="25">
        <v>0.83</v>
      </c>
      <c r="E82" s="25">
        <v>0.56000000000000005</v>
      </c>
      <c r="F82" s="32">
        <v>0.78</v>
      </c>
      <c r="G82" s="26">
        <v>0.92</v>
      </c>
    </row>
    <row r="83" spans="2:7">
      <c r="B83" s="24">
        <v>0.79</v>
      </c>
      <c r="C83" s="25">
        <v>0.85</v>
      </c>
      <c r="D83" s="25">
        <v>0.74</v>
      </c>
      <c r="E83" s="25">
        <v>0.56999999999999995</v>
      </c>
      <c r="F83" s="32">
        <v>0.35</v>
      </c>
      <c r="G83" s="26">
        <v>0.85</v>
      </c>
    </row>
    <row r="84" spans="2:7">
      <c r="B84" s="24">
        <v>0.78</v>
      </c>
      <c r="C84" s="25">
        <v>0.83</v>
      </c>
      <c r="D84" s="25">
        <v>0.62</v>
      </c>
      <c r="E84" s="25">
        <v>0.5</v>
      </c>
      <c r="F84" s="32">
        <v>0.74</v>
      </c>
      <c r="G84" s="26">
        <v>0.91</v>
      </c>
    </row>
    <row r="85" spans="2:7">
      <c r="B85" s="24">
        <v>0.81</v>
      </c>
      <c r="C85" s="25">
        <v>0.78</v>
      </c>
      <c r="D85" s="25">
        <v>0.83</v>
      </c>
      <c r="E85" s="25">
        <v>0.53</v>
      </c>
      <c r="F85" s="32">
        <v>0.69</v>
      </c>
      <c r="G85" s="26">
        <v>0.89</v>
      </c>
    </row>
    <row r="86" spans="2:7">
      <c r="B86" s="24">
        <v>0.72</v>
      </c>
      <c r="C86" s="25">
        <v>0.73</v>
      </c>
      <c r="D86" s="25">
        <v>0.88</v>
      </c>
      <c r="E86" s="25">
        <v>0.57999999999999996</v>
      </c>
      <c r="F86" s="32">
        <v>0.74</v>
      </c>
      <c r="G86" s="26">
        <v>0.9</v>
      </c>
    </row>
    <row r="87" spans="2:7">
      <c r="B87" s="24">
        <v>0.78</v>
      </c>
      <c r="C87" s="25">
        <v>0.8</v>
      </c>
      <c r="D87" s="25">
        <v>0.75</v>
      </c>
      <c r="E87" s="25">
        <v>0.54</v>
      </c>
      <c r="F87" s="32">
        <v>0.59</v>
      </c>
      <c r="G87" s="26">
        <v>0.8</v>
      </c>
    </row>
    <row r="88" spans="2:7">
      <c r="B88" s="24">
        <v>0.84</v>
      </c>
      <c r="C88" s="25">
        <v>0.72</v>
      </c>
      <c r="D88" s="25">
        <v>0.7</v>
      </c>
      <c r="E88" s="25">
        <v>0.62</v>
      </c>
      <c r="F88" s="32">
        <v>0.79</v>
      </c>
      <c r="G88" s="26">
        <v>0.92</v>
      </c>
    </row>
    <row r="89" spans="2:7">
      <c r="B89" s="24">
        <v>0.8</v>
      </c>
      <c r="C89" s="25">
        <v>0.76</v>
      </c>
      <c r="D89" s="25">
        <v>0.61</v>
      </c>
      <c r="E89" s="25">
        <v>0.57999999999999996</v>
      </c>
      <c r="F89" s="32">
        <v>0.77</v>
      </c>
      <c r="G89" s="26">
        <v>0.85</v>
      </c>
    </row>
    <row r="90" spans="2:7">
      <c r="B90" s="24">
        <v>0.75</v>
      </c>
      <c r="C90" s="25">
        <v>0.72</v>
      </c>
      <c r="D90" s="25">
        <v>0.73</v>
      </c>
      <c r="E90" s="25">
        <v>0.55000000000000004</v>
      </c>
      <c r="F90" s="32">
        <v>0.82</v>
      </c>
      <c r="G90" s="26">
        <v>0.74</v>
      </c>
    </row>
    <row r="91" spans="2:7">
      <c r="B91" s="24">
        <v>0.77</v>
      </c>
      <c r="C91" s="25">
        <v>0.77</v>
      </c>
      <c r="D91" s="25">
        <v>0.8</v>
      </c>
      <c r="E91" s="25">
        <v>0.63</v>
      </c>
      <c r="F91" s="32">
        <v>0.52</v>
      </c>
      <c r="G91" s="26">
        <v>0.9</v>
      </c>
    </row>
    <row r="92" spans="2:7">
      <c r="B92" s="24">
        <v>0.83</v>
      </c>
      <c r="C92" s="25">
        <v>0.81</v>
      </c>
      <c r="D92" s="25">
        <v>0.82</v>
      </c>
      <c r="E92" s="25">
        <v>0.57999999999999996</v>
      </c>
      <c r="F92" s="32">
        <v>0.77</v>
      </c>
      <c r="G92" s="26">
        <v>0.94</v>
      </c>
    </row>
    <row r="93" spans="2:7">
      <c r="B93" s="24">
        <v>0.86</v>
      </c>
      <c r="C93" s="25">
        <v>0.79</v>
      </c>
      <c r="D93" s="25">
        <v>0.84</v>
      </c>
      <c r="E93" s="25">
        <v>0.51</v>
      </c>
      <c r="F93" s="32">
        <v>0.75</v>
      </c>
      <c r="G93" s="26">
        <v>0.89</v>
      </c>
    </row>
    <row r="94" spans="2:7">
      <c r="B94" s="24">
        <v>0.77</v>
      </c>
      <c r="C94" s="25">
        <v>0.81</v>
      </c>
      <c r="D94" s="25">
        <v>0.8</v>
      </c>
      <c r="E94" s="25">
        <v>0.51</v>
      </c>
      <c r="F94" s="32">
        <v>0.7</v>
      </c>
      <c r="G94" s="26">
        <v>0.8</v>
      </c>
    </row>
    <row r="95" spans="2:7">
      <c r="B95" s="24">
        <v>0.73</v>
      </c>
      <c r="C95" s="25">
        <v>0.74</v>
      </c>
      <c r="D95" s="25">
        <v>0.75</v>
      </c>
      <c r="E95" s="25">
        <v>0.53</v>
      </c>
      <c r="F95" s="32">
        <v>0.7</v>
      </c>
      <c r="G95" s="26">
        <v>0.94</v>
      </c>
    </row>
    <row r="96" spans="2:7">
      <c r="B96" s="24">
        <v>0.79</v>
      </c>
      <c r="C96" s="25">
        <v>0.84</v>
      </c>
      <c r="D96" s="25">
        <v>0.78</v>
      </c>
      <c r="E96" s="25">
        <v>0.56999999999999995</v>
      </c>
      <c r="F96" s="32">
        <v>0.81</v>
      </c>
      <c r="G96" s="26">
        <v>0.85</v>
      </c>
    </row>
    <row r="97" spans="2:10">
      <c r="B97" s="24">
        <v>0.87</v>
      </c>
      <c r="C97" s="25">
        <v>0.77</v>
      </c>
      <c r="D97" s="25">
        <v>0.71</v>
      </c>
      <c r="E97" s="25">
        <v>0.59</v>
      </c>
      <c r="F97" s="32">
        <v>0.76</v>
      </c>
      <c r="G97" s="26">
        <v>0.92</v>
      </c>
    </row>
    <row r="98" spans="2:10">
      <c r="B98" s="24">
        <v>0.81</v>
      </c>
      <c r="C98" s="25">
        <v>0.72</v>
      </c>
      <c r="D98" s="25">
        <v>0.84</v>
      </c>
      <c r="E98" s="25">
        <v>0.39</v>
      </c>
      <c r="F98" s="32">
        <v>0.77</v>
      </c>
      <c r="G98" s="26">
        <v>0.96</v>
      </c>
    </row>
    <row r="99" spans="2:10">
      <c r="B99" s="24">
        <v>0.7</v>
      </c>
      <c r="C99" s="25">
        <v>0.71</v>
      </c>
      <c r="D99" s="25">
        <v>0.83</v>
      </c>
      <c r="E99" s="25">
        <v>0.55000000000000004</v>
      </c>
      <c r="F99" s="32">
        <v>0.74</v>
      </c>
      <c r="G99" s="26">
        <v>0.8</v>
      </c>
    </row>
    <row r="100" spans="2:10">
      <c r="B100" s="24">
        <v>0.77</v>
      </c>
      <c r="C100" s="25">
        <v>0.82</v>
      </c>
      <c r="D100" s="25">
        <v>0.86</v>
      </c>
      <c r="E100" s="25">
        <v>0.35</v>
      </c>
      <c r="F100" s="32">
        <v>0.81</v>
      </c>
      <c r="G100" s="26">
        <v>0.9</v>
      </c>
    </row>
    <row r="101" spans="2:10">
      <c r="B101" s="24">
        <v>0.78</v>
      </c>
      <c r="C101" s="25">
        <v>0.81</v>
      </c>
      <c r="D101" s="25">
        <v>0.77</v>
      </c>
      <c r="E101" s="25">
        <v>0.47</v>
      </c>
      <c r="F101" s="32">
        <v>0.78</v>
      </c>
      <c r="G101" s="26">
        <v>0.81</v>
      </c>
    </row>
    <row r="102" spans="2:10">
      <c r="B102" s="27">
        <v>0.74</v>
      </c>
      <c r="C102" s="28">
        <v>0.84</v>
      </c>
      <c r="D102" s="28">
        <v>0.84</v>
      </c>
      <c r="E102" s="28">
        <v>0.31</v>
      </c>
      <c r="F102" s="33">
        <v>0.81</v>
      </c>
      <c r="G102" s="29">
        <v>0.94</v>
      </c>
    </row>
    <row r="105" spans="2:10">
      <c r="B105" s="68" t="s">
        <v>9</v>
      </c>
      <c r="C105" s="68"/>
      <c r="D105" s="68"/>
      <c r="E105" s="68"/>
      <c r="F105" s="68"/>
      <c r="G105" s="68"/>
      <c r="H105" s="68"/>
      <c r="I105" s="68"/>
      <c r="J105" s="68"/>
    </row>
    <row r="106" spans="2:10">
      <c r="B106" s="75" t="s">
        <v>10</v>
      </c>
      <c r="C106" s="76" t="s">
        <v>11</v>
      </c>
      <c r="D106" s="76" t="s">
        <v>12</v>
      </c>
      <c r="E106" s="76" t="s">
        <v>13</v>
      </c>
      <c r="F106" s="76" t="s">
        <v>14</v>
      </c>
      <c r="G106" s="76" t="s">
        <v>15</v>
      </c>
      <c r="H106" s="76" t="s">
        <v>16</v>
      </c>
      <c r="I106" s="76" t="s">
        <v>17</v>
      </c>
      <c r="J106" s="76" t="s">
        <v>18</v>
      </c>
    </row>
    <row r="107" spans="2:10">
      <c r="B107" s="71" t="s">
        <v>19</v>
      </c>
      <c r="C107" s="79">
        <v>0.7712</v>
      </c>
      <c r="D107" s="79">
        <v>5.0900000000000001E-2</v>
      </c>
      <c r="E107" s="79">
        <v>0.77</v>
      </c>
      <c r="F107" s="79">
        <v>0.76119999999999999</v>
      </c>
      <c r="G107" s="79">
        <v>0.78120000000000001</v>
      </c>
      <c r="H107" s="81">
        <v>0.59</v>
      </c>
      <c r="I107" s="81">
        <v>0.87</v>
      </c>
      <c r="J107" s="72">
        <v>6.6</v>
      </c>
    </row>
    <row r="108" spans="2:10">
      <c r="B108" s="71" t="s">
        <v>20</v>
      </c>
      <c r="C108" s="79">
        <v>0.75609999999999999</v>
      </c>
      <c r="D108" s="79">
        <v>8.8499999999999995E-2</v>
      </c>
      <c r="E108" s="79">
        <v>0.77</v>
      </c>
      <c r="F108" s="79">
        <v>0.73880000000000001</v>
      </c>
      <c r="G108" s="79">
        <v>0.77339999999999998</v>
      </c>
      <c r="H108" s="81">
        <v>0.1</v>
      </c>
      <c r="I108" s="81">
        <v>0.85</v>
      </c>
      <c r="J108" s="72">
        <v>11.7</v>
      </c>
    </row>
    <row r="109" spans="2:10">
      <c r="B109" s="71" t="s">
        <v>3</v>
      </c>
      <c r="C109" s="79">
        <v>0.77539999999999998</v>
      </c>
      <c r="D109" s="79">
        <v>0.1016</v>
      </c>
      <c r="E109" s="79">
        <v>0.79500000000000004</v>
      </c>
      <c r="F109" s="79">
        <v>0.75549999999999995</v>
      </c>
      <c r="G109" s="79">
        <v>0.79530000000000001</v>
      </c>
      <c r="H109" s="81">
        <v>0.22</v>
      </c>
      <c r="I109" s="81">
        <v>0.9</v>
      </c>
      <c r="J109" s="72">
        <v>13.1</v>
      </c>
    </row>
    <row r="110" spans="2:10">
      <c r="B110" s="71" t="s">
        <v>21</v>
      </c>
      <c r="C110" s="79">
        <v>0.52949999999999997</v>
      </c>
      <c r="D110" s="79">
        <v>8.09E-2</v>
      </c>
      <c r="E110" s="79">
        <v>0.54</v>
      </c>
      <c r="F110" s="79">
        <v>0.51359999999999995</v>
      </c>
      <c r="G110" s="79">
        <v>0.5454</v>
      </c>
      <c r="H110" s="81">
        <v>7.0000000000000007E-2</v>
      </c>
      <c r="I110" s="81">
        <v>0.64</v>
      </c>
      <c r="J110" s="72">
        <v>15.3</v>
      </c>
    </row>
    <row r="111" spans="2:10">
      <c r="B111" s="71" t="s">
        <v>22</v>
      </c>
      <c r="C111" s="79">
        <v>0.7268</v>
      </c>
      <c r="D111" s="79">
        <v>0.1033</v>
      </c>
      <c r="E111" s="79">
        <v>0.75</v>
      </c>
      <c r="F111" s="79">
        <v>0.70660000000000001</v>
      </c>
      <c r="G111" s="79">
        <v>0.747</v>
      </c>
      <c r="H111" s="81">
        <v>0.13</v>
      </c>
      <c r="I111" s="81">
        <v>0.86</v>
      </c>
      <c r="J111" s="72">
        <v>14.2</v>
      </c>
    </row>
    <row r="112" spans="2:10">
      <c r="B112" s="73" t="s">
        <v>6</v>
      </c>
      <c r="C112" s="80">
        <v>0.87260000000000004</v>
      </c>
      <c r="D112" s="80">
        <v>6.6199999999999995E-2</v>
      </c>
      <c r="E112" s="80">
        <v>0.88</v>
      </c>
      <c r="F112" s="80">
        <v>0.85960000000000003</v>
      </c>
      <c r="G112" s="80">
        <v>0.88560000000000005</v>
      </c>
      <c r="H112" s="82">
        <v>0.6</v>
      </c>
      <c r="I112" s="82">
        <v>0.97</v>
      </c>
      <c r="J112" s="74">
        <v>7.6</v>
      </c>
    </row>
    <row r="113" spans="2:10">
      <c r="B113" s="67"/>
      <c r="C113" s="66"/>
      <c r="D113" s="66"/>
      <c r="E113" s="66"/>
      <c r="F113" s="66"/>
      <c r="G113" s="66"/>
      <c r="H113" s="66"/>
      <c r="I113" s="66"/>
      <c r="J113" s="66"/>
    </row>
    <row r="114" spans="2:10">
      <c r="B114" s="67"/>
      <c r="C114" s="66"/>
      <c r="D114" s="66"/>
      <c r="E114" s="66"/>
      <c r="F114" s="66"/>
      <c r="G114" s="66"/>
      <c r="H114" s="66"/>
      <c r="I114" s="66"/>
      <c r="J114" s="66"/>
    </row>
    <row r="115" spans="2:10">
      <c r="B115" s="68" t="s">
        <v>23</v>
      </c>
      <c r="C115" s="68"/>
      <c r="D115" s="68"/>
      <c r="E115" s="66"/>
      <c r="F115" s="66"/>
      <c r="G115" s="66"/>
      <c r="H115" s="66"/>
      <c r="I115" s="66"/>
      <c r="J115" s="66"/>
    </row>
    <row r="116" spans="2:10">
      <c r="B116" s="69" t="s">
        <v>24</v>
      </c>
      <c r="C116" s="70" t="s">
        <v>25</v>
      </c>
      <c r="D116" s="70" t="s">
        <v>26</v>
      </c>
      <c r="E116" s="66"/>
      <c r="F116" s="66"/>
      <c r="G116" s="66"/>
      <c r="H116" s="66"/>
      <c r="I116" s="66"/>
      <c r="J116" s="66"/>
    </row>
    <row r="117" spans="2:10" ht="14.25">
      <c r="B117" s="77">
        <v>2.6751999999999998</v>
      </c>
      <c r="C117" s="78">
        <v>2.1100000000000001E-2</v>
      </c>
      <c r="D117" s="83" t="s">
        <v>28</v>
      </c>
      <c r="E117" s="66"/>
      <c r="F117" s="66"/>
      <c r="G117" s="66"/>
      <c r="H117" s="66"/>
      <c r="I117" s="66"/>
      <c r="J117" s="66"/>
    </row>
    <row r="118" spans="2:10">
      <c r="B118" s="67"/>
      <c r="C118" s="66"/>
      <c r="D118" s="66"/>
      <c r="E118" s="66"/>
      <c r="F118" s="66"/>
      <c r="G118" s="66"/>
      <c r="H118" s="66"/>
      <c r="I118" s="66"/>
      <c r="J118" s="66"/>
    </row>
    <row r="119" spans="2:10">
      <c r="B119" s="67"/>
      <c r="C119" s="66"/>
      <c r="D119" s="66"/>
      <c r="E119" s="66"/>
      <c r="F119" s="66"/>
      <c r="G119" s="66"/>
      <c r="H119" s="66"/>
      <c r="I119" s="66"/>
      <c r="J119" s="66"/>
    </row>
    <row r="120" spans="2:10">
      <c r="B120" s="68" t="s">
        <v>29</v>
      </c>
      <c r="C120" s="68"/>
      <c r="D120" s="68"/>
      <c r="E120" s="68"/>
      <c r="F120" s="68"/>
      <c r="G120" s="66"/>
      <c r="H120" s="66"/>
      <c r="I120" s="66"/>
      <c r="J120" s="66"/>
    </row>
    <row r="121" spans="2:10">
      <c r="B121" s="69" t="s">
        <v>30</v>
      </c>
      <c r="C121" s="70" t="s">
        <v>31</v>
      </c>
      <c r="D121" s="70" t="s">
        <v>32</v>
      </c>
      <c r="E121" s="70" t="s">
        <v>25</v>
      </c>
      <c r="F121" s="70" t="s">
        <v>26</v>
      </c>
      <c r="G121" s="66"/>
      <c r="H121" s="66"/>
      <c r="I121" s="66"/>
      <c r="J121" s="66"/>
    </row>
    <row r="122" spans="2:10" ht="14.25">
      <c r="B122" s="87">
        <v>220.40029999999999</v>
      </c>
      <c r="C122" s="78">
        <v>5</v>
      </c>
      <c r="D122" s="78">
        <v>8</v>
      </c>
      <c r="E122" s="86" t="s">
        <v>27</v>
      </c>
      <c r="F122" s="83" t="s">
        <v>33</v>
      </c>
      <c r="G122" s="66"/>
      <c r="H122" s="66"/>
      <c r="I122" s="66"/>
      <c r="J122" s="66"/>
    </row>
    <row r="123" spans="2:10">
      <c r="B123" s="67"/>
      <c r="C123" s="66"/>
      <c r="D123" s="66"/>
      <c r="E123" s="66"/>
      <c r="F123" s="66"/>
      <c r="G123" s="66"/>
      <c r="H123" s="66"/>
      <c r="I123" s="66"/>
      <c r="J123" s="66"/>
    </row>
    <row r="124" spans="2:10">
      <c r="B124" s="67"/>
      <c r="C124" s="66"/>
      <c r="D124" s="66"/>
      <c r="E124" s="66"/>
      <c r="F124" s="66"/>
      <c r="G124" s="66"/>
      <c r="H124" s="66"/>
      <c r="I124" s="66"/>
      <c r="J124" s="66"/>
    </row>
    <row r="125" spans="2:10">
      <c r="B125" s="68" t="s">
        <v>34</v>
      </c>
      <c r="C125" s="68"/>
      <c r="D125" s="68"/>
      <c r="E125" s="68"/>
      <c r="F125" s="68"/>
      <c r="G125" s="68"/>
      <c r="H125" s="68"/>
      <c r="I125" s="68"/>
      <c r="J125" s="66"/>
    </row>
    <row r="126" spans="2:10">
      <c r="B126" s="69" t="s">
        <v>35</v>
      </c>
      <c r="C126" s="70" t="s">
        <v>36</v>
      </c>
      <c r="D126" s="70" t="s">
        <v>37</v>
      </c>
      <c r="E126" s="70" t="s">
        <v>38</v>
      </c>
      <c r="F126" s="70" t="s">
        <v>14</v>
      </c>
      <c r="G126" s="70" t="s">
        <v>15</v>
      </c>
      <c r="H126" s="70" t="s">
        <v>25</v>
      </c>
      <c r="I126" s="70" t="s">
        <v>39</v>
      </c>
      <c r="J126" s="66"/>
    </row>
    <row r="127" spans="2:10">
      <c r="B127" s="93" t="s">
        <v>19</v>
      </c>
      <c r="C127" s="95" t="s">
        <v>20</v>
      </c>
      <c r="D127" s="91">
        <v>1.5100000000000001E-2</v>
      </c>
      <c r="E127" s="91">
        <v>1.0200000000000001E-2</v>
      </c>
      <c r="F127" s="91">
        <v>-5.1000000000000004E-3</v>
      </c>
      <c r="G127" s="91">
        <v>3.5299999999999998E-2</v>
      </c>
      <c r="H127" s="92">
        <v>0.1411</v>
      </c>
      <c r="I127" s="89" t="s">
        <v>40</v>
      </c>
      <c r="J127" s="66"/>
    </row>
    <row r="128" spans="2:10">
      <c r="B128" s="71" t="s">
        <v>19</v>
      </c>
      <c r="C128" s="96" t="s">
        <v>3</v>
      </c>
      <c r="D128" s="79">
        <v>-4.1999999999999997E-3</v>
      </c>
      <c r="E128" s="79">
        <v>1.14E-2</v>
      </c>
      <c r="F128" s="79">
        <v>-2.6700000000000002E-2</v>
      </c>
      <c r="G128" s="79">
        <v>1.83E-2</v>
      </c>
      <c r="H128" s="97">
        <v>0.71240000000000003</v>
      </c>
      <c r="I128" s="90" t="s">
        <v>40</v>
      </c>
      <c r="J128" s="66"/>
    </row>
    <row r="129" spans="2:10">
      <c r="B129" s="71" t="s">
        <v>19</v>
      </c>
      <c r="C129" s="96" t="s">
        <v>21</v>
      </c>
      <c r="D129" s="79">
        <v>0.2417</v>
      </c>
      <c r="E129" s="79">
        <v>9.5999999999999992E-3</v>
      </c>
      <c r="F129" s="79">
        <v>0.2228</v>
      </c>
      <c r="G129" s="79">
        <v>0.2606</v>
      </c>
      <c r="H129" s="97" t="s">
        <v>27</v>
      </c>
      <c r="I129" s="90" t="s">
        <v>41</v>
      </c>
      <c r="J129" s="66"/>
    </row>
    <row r="130" spans="2:10">
      <c r="B130" s="71" t="s">
        <v>19</v>
      </c>
      <c r="C130" s="96" t="s">
        <v>22</v>
      </c>
      <c r="D130" s="79">
        <v>4.4400000000000002E-2</v>
      </c>
      <c r="E130" s="79">
        <v>1.15E-2</v>
      </c>
      <c r="F130" s="79">
        <v>2.1600000000000001E-2</v>
      </c>
      <c r="G130" s="79">
        <v>6.7199999999999996E-2</v>
      </c>
      <c r="H130" s="97" t="s">
        <v>27</v>
      </c>
      <c r="I130" s="90" t="s">
        <v>41</v>
      </c>
      <c r="J130" s="66"/>
    </row>
    <row r="131" spans="2:10">
      <c r="B131" s="71" t="s">
        <v>19</v>
      </c>
      <c r="C131" s="96" t="s">
        <v>6</v>
      </c>
      <c r="D131" s="79">
        <v>-0.1014</v>
      </c>
      <c r="E131" s="79">
        <v>8.3999999999999995E-3</v>
      </c>
      <c r="F131" s="79">
        <v>-0.1179</v>
      </c>
      <c r="G131" s="79">
        <v>-8.4900000000000003E-2</v>
      </c>
      <c r="H131" s="97" t="s">
        <v>27</v>
      </c>
      <c r="I131" s="90" t="s">
        <v>41</v>
      </c>
      <c r="J131" s="66"/>
    </row>
    <row r="132" spans="2:10">
      <c r="B132" s="71" t="s">
        <v>20</v>
      </c>
      <c r="C132" s="96" t="s">
        <v>3</v>
      </c>
      <c r="D132" s="79">
        <v>-1.9300000000000001E-2</v>
      </c>
      <c r="E132" s="79">
        <v>1.35E-2</v>
      </c>
      <c r="F132" s="79">
        <v>-4.5900000000000003E-2</v>
      </c>
      <c r="G132" s="79">
        <v>7.3000000000000001E-3</v>
      </c>
      <c r="H132" s="97">
        <v>0.1537</v>
      </c>
      <c r="I132" s="90" t="s">
        <v>40</v>
      </c>
      <c r="J132" s="66"/>
    </row>
    <row r="133" spans="2:10">
      <c r="B133" s="71" t="s">
        <v>20</v>
      </c>
      <c r="C133" s="96" t="s">
        <v>21</v>
      </c>
      <c r="D133" s="79">
        <v>0.2266</v>
      </c>
      <c r="E133" s="79">
        <v>1.2E-2</v>
      </c>
      <c r="F133" s="79">
        <v>0.2029</v>
      </c>
      <c r="G133" s="79">
        <v>0.25030000000000002</v>
      </c>
      <c r="H133" s="97" t="s">
        <v>27</v>
      </c>
      <c r="I133" s="90" t="s">
        <v>41</v>
      </c>
      <c r="J133" s="66"/>
    </row>
    <row r="134" spans="2:10">
      <c r="B134" s="71" t="s">
        <v>20</v>
      </c>
      <c r="C134" s="96" t="s">
        <v>22</v>
      </c>
      <c r="D134" s="79">
        <v>2.93E-2</v>
      </c>
      <c r="E134" s="79">
        <v>1.3599999999999999E-2</v>
      </c>
      <c r="F134" s="79">
        <v>2.5000000000000001E-3</v>
      </c>
      <c r="G134" s="79">
        <v>5.6099999999999997E-2</v>
      </c>
      <c r="H134" s="97">
        <v>3.2500000000000001E-2</v>
      </c>
      <c r="I134" s="90" t="s">
        <v>41</v>
      </c>
      <c r="J134" s="66"/>
    </row>
    <row r="135" spans="2:10">
      <c r="B135" s="71" t="s">
        <v>20</v>
      </c>
      <c r="C135" s="96" t="s">
        <v>6</v>
      </c>
      <c r="D135" s="79">
        <v>-0.11650000000000001</v>
      </c>
      <c r="E135" s="79">
        <v>1.11E-2</v>
      </c>
      <c r="F135" s="79">
        <v>-0.13830000000000001</v>
      </c>
      <c r="G135" s="79">
        <v>-9.4700000000000006E-2</v>
      </c>
      <c r="H135" s="88" t="s">
        <v>27</v>
      </c>
      <c r="I135" s="90" t="s">
        <v>41</v>
      </c>
      <c r="J135" s="66"/>
    </row>
    <row r="136" spans="2:10">
      <c r="B136" s="71" t="s">
        <v>3</v>
      </c>
      <c r="C136" s="96" t="s">
        <v>21</v>
      </c>
      <c r="D136" s="79">
        <v>0.24590000000000001</v>
      </c>
      <c r="E136" s="79">
        <v>1.2999999999999999E-2</v>
      </c>
      <c r="F136" s="79">
        <v>0.2203</v>
      </c>
      <c r="G136" s="79">
        <v>0.27150000000000002</v>
      </c>
      <c r="H136" s="88" t="s">
        <v>27</v>
      </c>
      <c r="I136" s="90" t="s">
        <v>41</v>
      </c>
      <c r="J136" s="66"/>
    </row>
    <row r="137" spans="2:10">
      <c r="B137" s="71" t="s">
        <v>3</v>
      </c>
      <c r="C137" s="96" t="s">
        <v>22</v>
      </c>
      <c r="D137" s="79">
        <v>4.8599999999999997E-2</v>
      </c>
      <c r="E137" s="79">
        <v>1.4500000000000001E-2</v>
      </c>
      <c r="F137" s="79">
        <v>0.02</v>
      </c>
      <c r="G137" s="79">
        <v>7.7200000000000005E-2</v>
      </c>
      <c r="H137" s="88" t="s">
        <v>27</v>
      </c>
      <c r="I137" s="90" t="s">
        <v>41</v>
      </c>
      <c r="J137" s="66"/>
    </row>
    <row r="138" spans="2:10">
      <c r="B138" s="71" t="s">
        <v>3</v>
      </c>
      <c r="C138" s="96" t="s">
        <v>6</v>
      </c>
      <c r="D138" s="79">
        <v>-9.7199999999999995E-2</v>
      </c>
      <c r="E138" s="79">
        <v>1.21E-2</v>
      </c>
      <c r="F138" s="79">
        <v>-0.1211</v>
      </c>
      <c r="G138" s="79">
        <v>-7.3300000000000004E-2</v>
      </c>
      <c r="H138" s="88" t="s">
        <v>27</v>
      </c>
      <c r="I138" s="90" t="s">
        <v>41</v>
      </c>
      <c r="J138" s="66"/>
    </row>
    <row r="139" spans="2:10">
      <c r="B139" s="71" t="s">
        <v>21</v>
      </c>
      <c r="C139" s="96" t="s">
        <v>22</v>
      </c>
      <c r="D139" s="79">
        <v>-0.1973</v>
      </c>
      <c r="E139" s="79">
        <v>1.3100000000000001E-2</v>
      </c>
      <c r="F139" s="79">
        <v>-0.22320000000000001</v>
      </c>
      <c r="G139" s="79">
        <v>-0.1714</v>
      </c>
      <c r="H139" s="88" t="s">
        <v>27</v>
      </c>
      <c r="I139" s="90" t="s">
        <v>41</v>
      </c>
      <c r="J139" s="66"/>
    </row>
    <row r="140" spans="2:10">
      <c r="B140" s="71" t="s">
        <v>21</v>
      </c>
      <c r="C140" s="96" t="s">
        <v>6</v>
      </c>
      <c r="D140" s="79">
        <v>-0.34310000000000002</v>
      </c>
      <c r="E140" s="79">
        <v>1.0500000000000001E-2</v>
      </c>
      <c r="F140" s="79">
        <v>-0.36370000000000002</v>
      </c>
      <c r="G140" s="79">
        <v>-0.32250000000000001</v>
      </c>
      <c r="H140" s="88" t="s">
        <v>27</v>
      </c>
      <c r="I140" s="90" t="s">
        <v>41</v>
      </c>
      <c r="J140" s="66"/>
    </row>
    <row r="141" spans="2:10">
      <c r="B141" s="73" t="s">
        <v>22</v>
      </c>
      <c r="C141" s="94" t="s">
        <v>6</v>
      </c>
      <c r="D141" s="80">
        <v>-0.14580000000000001</v>
      </c>
      <c r="E141" s="80">
        <v>1.23E-2</v>
      </c>
      <c r="F141" s="80">
        <v>-0.17</v>
      </c>
      <c r="G141" s="80">
        <v>-0.1216</v>
      </c>
      <c r="H141" s="84" t="s">
        <v>27</v>
      </c>
      <c r="I141" s="85" t="s">
        <v>41</v>
      </c>
      <c r="J141" s="66"/>
    </row>
    <row r="142" spans="2:10">
      <c r="B142" s="67"/>
      <c r="C142" s="66"/>
      <c r="D142" s="66"/>
      <c r="E142" s="66"/>
      <c r="F142" s="66"/>
      <c r="G142" s="66"/>
      <c r="H142" s="66"/>
      <c r="I142" s="66"/>
      <c r="J142" s="66"/>
    </row>
    <row r="143" spans="2:10">
      <c r="B143" s="67"/>
      <c r="C143" s="66"/>
      <c r="D143" s="66"/>
      <c r="E143" s="66"/>
      <c r="F143" s="66"/>
      <c r="G143" s="66"/>
      <c r="H143" s="66"/>
      <c r="I143" s="66"/>
      <c r="J143" s="66"/>
    </row>
  </sheetData>
  <mergeCells count="5">
    <mergeCell ref="B1:G1"/>
    <mergeCell ref="B105:J105"/>
    <mergeCell ref="B115:D115"/>
    <mergeCell ref="B120:F120"/>
    <mergeCell ref="B125:I1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2026-01-15T06:27:39Z</dcterms:created>
  <dcterms:modified xsi:type="dcterms:W3CDTF">2026-01-16T02:47:49Z</dcterms:modified>
  <cp:category/>
  <cp:contentStatus/>
</cp:coreProperties>
</file>