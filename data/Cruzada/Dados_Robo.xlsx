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ização" sheetId="1" r:id="rId4"/>
    <sheet state="visible" name="DAPR" sheetId="2" r:id="rId5"/>
    <sheet state="visible" name="DAPBA" sheetId="3" r:id="rId6"/>
    <sheet state="visible" name="DAPG" sheetId="4" r:id="rId7"/>
    <sheet state="visible" name="DAPRA" sheetId="5" r:id="rId8"/>
    <sheet state="visible" name="DAPRB" sheetId="6" r:id="rId9"/>
    <sheet state="visible" name="DAPRD" sheetId="7" r:id="rId10"/>
    <sheet state="visible" name="VAPR" sheetId="8" r:id="rId11"/>
    <sheet state="visible" name="VAPBA" sheetId="9" r:id="rId12"/>
    <sheet state="visible" name="VAPG" sheetId="10" r:id="rId13"/>
    <sheet state="visible" name="VAPRA" sheetId="11" r:id="rId14"/>
    <sheet state="visible" name="VAPRB" sheetId="12" r:id="rId15"/>
    <sheet state="visible" name="VAPRD" sheetId="13" r:id="rId16"/>
  </sheets>
  <definedNames/>
  <calcPr/>
  <extLst>
    <ext uri="GoogleSheetsCustomDataVersion2">
      <go:sheetsCustomData xmlns:go="http://customooxmlschemas.google.com/" r:id="rId17" roundtripDataChecksum="x0SAzEIqsOeNmsAWG8zSe0IHlmg7BhHIzV5Ew+Rm5ns="/>
    </ext>
  </extLst>
</workbook>
</file>

<file path=xl/sharedStrings.xml><?xml version="1.0" encoding="utf-8"?>
<sst xmlns="http://schemas.openxmlformats.org/spreadsheetml/2006/main" count="1087" uniqueCount="61">
  <si>
    <t>Ambiente</t>
  </si>
  <si>
    <t>Modelo</t>
  </si>
  <si>
    <t>Sucesso</t>
  </si>
  <si>
    <t>Distância</t>
  </si>
  <si>
    <t>Velocidade</t>
  </si>
  <si>
    <t>Direção</t>
  </si>
  <si>
    <t>Score Ambiente</t>
  </si>
  <si>
    <t>PBA</t>
  </si>
  <si>
    <t>PR</t>
  </si>
  <si>
    <t>PRA</t>
  </si>
  <si>
    <t>PRD</t>
  </si>
  <si>
    <t>PRB</t>
  </si>
  <si>
    <t>PG</t>
  </si>
  <si>
    <t>Score Robo</t>
  </si>
  <si>
    <t>Robô</t>
  </si>
  <si>
    <t>Suc Asc</t>
  </si>
  <si>
    <t>Suc Desc</t>
  </si>
  <si>
    <t>Percentual</t>
  </si>
  <si>
    <t>Indefinida</t>
  </si>
  <si>
    <t>descendente</t>
  </si>
  <si>
    <t>Distância em 100 Episódios - Ambiente PR</t>
  </si>
  <si>
    <t>1. ESTATÍSTICAS DESCRITIVAS</t>
  </si>
  <si>
    <t>Variável</t>
  </si>
  <si>
    <t>Média</t>
  </si>
  <si>
    <t>DP</t>
  </si>
  <si>
    <t>Mediana</t>
  </si>
  <si>
    <t>IC 95% Inferior</t>
  </si>
  <si>
    <t>IC 95% Superior</t>
  </si>
  <si>
    <t>Mínimo</t>
  </si>
  <si>
    <t>Máximo</t>
  </si>
  <si>
    <t>CV (%)</t>
  </si>
  <si>
    <t>2. TESTE DE LEVENE</t>
  </si>
  <si>
    <t>Estatística F</t>
  </si>
  <si>
    <t>p-valor</t>
  </si>
  <si>
    <t>Resultado</t>
  </si>
  <si>
    <t>&lt; 0,001</t>
  </si>
  <si>
    <t>Não Homogêneas</t>
  </si>
  <si>
    <t>3. ANOVA DE WELCH</t>
  </si>
  <si>
    <t>F</t>
  </si>
  <si>
    <t>gl entre</t>
  </si>
  <si>
    <t>gl dentro</t>
  </si>
  <si>
    <t>Significativa</t>
  </si>
  <si>
    <t>4. TESTE POST-HOC - Games-Howell</t>
  </si>
  <si>
    <t>Grupo 1</t>
  </si>
  <si>
    <t>Grupo 2</t>
  </si>
  <si>
    <t>Diferença</t>
  </si>
  <si>
    <t>Erro Padrão</t>
  </si>
  <si>
    <t>Significativo</t>
  </si>
  <si>
    <t>SIM</t>
  </si>
  <si>
    <t>NÃO</t>
  </si>
  <si>
    <t>Distância em 100 Episódios  - Ambiente PBA</t>
  </si>
  <si>
    <t>Distância em 100 Episódios  - Ambiente PG</t>
  </si>
  <si>
    <t>Distância em 100 Episódios  - Ambiente PRA</t>
  </si>
  <si>
    <t>Distância em 100 Episódios  - Ambiente PRB</t>
  </si>
  <si>
    <t>Distância em 100 Episódios  - Ambiente PRD</t>
  </si>
  <si>
    <t>Velocidade em 100 Episódios  - Ambiente PR</t>
  </si>
  <si>
    <t>Velocidade em 100 Episódios  - Ambiente PBA</t>
  </si>
  <si>
    <t>Velocidade em 100 Episódios  - Ambiente PG</t>
  </si>
  <si>
    <t>Velocidade em 100 Episódios  - Ambiente PRA</t>
  </si>
  <si>
    <t>Velocidade em 100 Episódios  - Ambiente PRB</t>
  </si>
  <si>
    <t>Velocidade em 100 Episódios  - Ambiente PRD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</si>
</sst>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%"/>
  </numFmts>
  <fonts count="13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0.0"/>
      <color theme="1"/>
      <name val="Liberation Sans"/>
    </font>
    <font>
      <b/>
      <sz val="10.0"/>
      <color theme="1"/>
      <name val="Arial"/>
    </font>
    <font/>
    <font>
      <color theme="1"/>
      <name val="Arial"/>
    </font>
    <font>
      <sz val="11.0"/>
      <color rgb="FF000000"/>
      <name val="Arial"/>
    </font>
    <font>
      <sz val="10.0"/>
      <color theme="1"/>
      <name val="Liberation Sans"/>
    </font>
    <font>
      <sz val="10.0"/>
      <color theme="1"/>
      <name val="Arial"/>
    </font>
    <font>
      <sz val="11.0"/>
      <color theme="1"/>
      <name val="Aptos Narrow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0" xfId="0" applyBorder="1" applyFont="1"/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 shrinkToFit="0" vertical="bottom" wrapText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8" numFmtId="9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7" numFmtId="165" xfId="0" applyFont="1" applyNumberFormat="1"/>
    <xf borderId="0" fillId="2" fontId="9" numFmtId="0" xfId="0" applyAlignment="1" applyFill="1" applyFont="1">
      <alignment vertical="bottom"/>
    </xf>
    <xf borderId="0" fillId="0" fontId="9" numFmtId="0" xfId="0" applyAlignment="1" applyFont="1">
      <alignment horizontal="right" vertical="bottom"/>
    </xf>
    <xf borderId="2" fillId="2" fontId="9" numFmtId="0" xfId="0" applyAlignment="1" applyBorder="1" applyFont="1">
      <alignment vertical="bottom"/>
    </xf>
    <xf borderId="2" fillId="0" fontId="9" numFmtId="0" xfId="0" applyAlignment="1" applyBorder="1" applyFont="1">
      <alignment horizontal="right" vertical="bottom"/>
    </xf>
    <xf borderId="3" fillId="2" fontId="9" numFmtId="0" xfId="0" applyAlignment="1" applyBorder="1" applyFont="1">
      <alignment vertical="bottom"/>
    </xf>
    <xf borderId="3" fillId="0" fontId="9" numFmtId="0" xfId="0" applyAlignment="1" applyBorder="1" applyFont="1">
      <alignment horizontal="right" vertical="bottom"/>
    </xf>
    <xf borderId="0" fillId="0" fontId="1" numFmtId="164" xfId="0" applyFont="1" applyNumberFormat="1"/>
    <xf borderId="3" fillId="0" fontId="1" numFmtId="164" xfId="0" applyBorder="1" applyFont="1" applyNumberFormat="1"/>
    <xf borderId="1" fillId="0" fontId="5" numFmtId="0" xfId="0" applyAlignment="1" applyBorder="1" applyFont="1">
      <alignment readingOrder="0"/>
    </xf>
    <xf borderId="0" fillId="0" fontId="1" numFmtId="166" xfId="0" applyFont="1" applyNumberFormat="1"/>
    <xf borderId="0" fillId="0" fontId="1" numFmtId="3" xfId="0" applyFont="1" applyNumberFormat="1"/>
    <xf borderId="0" fillId="0" fontId="1" numFmtId="0" xfId="0" applyFont="1"/>
    <xf borderId="3" fillId="0" fontId="1" numFmtId="0" xfId="0" applyBorder="1" applyFont="1"/>
    <xf borderId="3" fillId="0" fontId="1" numFmtId="166" xfId="0" applyBorder="1" applyFont="1" applyNumberFormat="1"/>
    <xf borderId="3" fillId="0" fontId="5" numFmtId="0" xfId="0" applyAlignment="1" applyBorder="1" applyFont="1">
      <alignment readingOrder="0"/>
    </xf>
    <xf borderId="3" fillId="0" fontId="7" numFmtId="0" xfId="0" applyBorder="1" applyFont="1"/>
    <xf borderId="3" fillId="0" fontId="8" numFmtId="0" xfId="0" applyAlignment="1" applyBorder="1" applyFont="1">
      <alignment readingOrder="0"/>
    </xf>
    <xf borderId="3" fillId="0" fontId="8" numFmtId="9" xfId="0" applyAlignment="1" applyBorder="1" applyFont="1" applyNumberFormat="1">
      <alignment readingOrder="0"/>
    </xf>
    <xf borderId="3" fillId="0" fontId="8" numFmtId="164" xfId="0" applyAlignment="1" applyBorder="1" applyFont="1" applyNumberFormat="1">
      <alignment readingOrder="0"/>
    </xf>
    <xf borderId="3" fillId="0" fontId="7" numFmtId="165" xfId="0" applyBorder="1" applyFont="1" applyNumberFormat="1"/>
    <xf borderId="0" fillId="0" fontId="1" numFmtId="10" xfId="0" applyFont="1" applyNumberFormat="1"/>
    <xf borderId="2" fillId="0" fontId="10" numFmtId="0" xfId="0" applyAlignment="1" applyBorder="1" applyFont="1">
      <alignment horizontal="center" readingOrder="0"/>
    </xf>
    <xf borderId="2" fillId="0" fontId="4" numFmtId="0" xfId="0" applyBorder="1" applyFont="1"/>
    <xf borderId="3" fillId="0" fontId="3" numFmtId="0" xfId="0" applyAlignment="1" applyBorder="1" applyFont="1">
      <alignment horizontal="center" readingOrder="0"/>
    </xf>
    <xf borderId="0" fillId="0" fontId="7" numFmtId="2" xfId="0" applyFont="1" applyNumberFormat="1"/>
    <xf borderId="3" fillId="0" fontId="7" numFmtId="2" xfId="0" applyBorder="1" applyFont="1" applyNumberFormat="1"/>
    <xf borderId="2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0" fillId="0" fontId="10" numFmtId="0" xfId="0" applyFont="1"/>
    <xf borderId="0" fillId="0" fontId="11" numFmtId="165" xfId="0" applyFont="1" applyNumberFormat="1"/>
    <xf borderId="0" fillId="0" fontId="11" numFmtId="0" xfId="0" applyFont="1"/>
    <xf borderId="0" fillId="0" fontId="11" numFmtId="164" xfId="0" applyFont="1" applyNumberFormat="1"/>
    <xf borderId="3" fillId="0" fontId="10" numFmtId="0" xfId="0" applyBorder="1" applyFont="1"/>
    <xf borderId="3" fillId="0" fontId="11" numFmtId="165" xfId="0" applyBorder="1" applyFont="1" applyNumberFormat="1"/>
    <xf borderId="3" fillId="0" fontId="11" numFmtId="2" xfId="0" applyBorder="1" applyFont="1" applyNumberFormat="1"/>
    <xf borderId="3" fillId="0" fontId="11" numFmtId="0" xfId="0" applyBorder="1" applyFont="1"/>
    <xf borderId="3" fillId="0" fontId="11" numFmtId="164" xfId="0" applyBorder="1" applyFont="1" applyNumberFormat="1"/>
    <xf borderId="0" fillId="0" fontId="12" numFmtId="0" xfId="0" applyFont="1"/>
    <xf borderId="3" fillId="0" fontId="11" numFmtId="0" xfId="0" applyAlignment="1" applyBorder="1" applyFont="1">
      <alignment horizontal="right"/>
    </xf>
    <xf borderId="3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0" fontId="11" numFmtId="165" xfId="0" applyAlignment="1" applyFont="1" applyNumberFormat="1">
      <alignment horizontal="right"/>
    </xf>
    <xf borderId="3" fillId="0" fontId="11" numFmtId="165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hidden="1" min="3" max="3" width="8.63"/>
    <col customWidth="1" min="4" max="4" width="8.63"/>
    <col customWidth="1" hidden="1" min="5" max="5" width="7.88"/>
    <col customWidth="1" min="6" max="6" width="7.88"/>
    <col customWidth="1" min="7" max="7" width="8.13"/>
    <col customWidth="1" min="8" max="8" width="8.38"/>
    <col customWidth="1" min="9" max="9" width="7.0"/>
    <col customWidth="1" min="10" max="10" width="9.75"/>
    <col customWidth="1" min="11" max="11" width="7.75"/>
    <col customWidth="1" min="12" max="12" width="10.5"/>
    <col customWidth="1" min="13" max="17" width="8.63"/>
    <col customWidth="1" min="18" max="19" width="11.5"/>
  </cols>
  <sheetData>
    <row r="1">
      <c r="G1" s="1"/>
      <c r="I1" s="1"/>
    </row>
    <row r="2">
      <c r="B2" s="2" t="s">
        <v>0</v>
      </c>
      <c r="C2" s="2"/>
      <c r="D2" s="2" t="s">
        <v>1</v>
      </c>
      <c r="E2" s="3"/>
      <c r="F2" s="3" t="s">
        <v>2</v>
      </c>
      <c r="G2" s="4"/>
      <c r="H2" s="3" t="s">
        <v>3</v>
      </c>
      <c r="I2" s="4"/>
      <c r="J2" s="3" t="s">
        <v>4</v>
      </c>
      <c r="K2" s="4"/>
      <c r="L2" s="2" t="s">
        <v>5</v>
      </c>
      <c r="N2" s="5"/>
      <c r="O2" s="5"/>
      <c r="P2" s="6" t="s">
        <v>6</v>
      </c>
      <c r="Q2" s="4"/>
    </row>
    <row r="3">
      <c r="B3" s="7" t="s">
        <v>7</v>
      </c>
      <c r="C3" s="8">
        <v>2.0</v>
      </c>
      <c r="D3" s="7" t="s">
        <v>8</v>
      </c>
      <c r="E3" s="8">
        <v>4.0</v>
      </c>
      <c r="F3" s="9">
        <v>0.54</v>
      </c>
      <c r="G3" s="10">
        <v>4.0</v>
      </c>
      <c r="H3" s="11">
        <v>7.82365026534796</v>
      </c>
      <c r="I3" s="10">
        <v>4.0</v>
      </c>
      <c r="J3" s="11">
        <v>0.768898352202315</v>
      </c>
      <c r="K3" s="10">
        <v>4.0</v>
      </c>
      <c r="L3" s="7" t="str">
        <f t="shared" ref="L3:L32" si="1">IF(C3&gt;E3,"descendente","ascendente")</f>
        <v>ascendente</v>
      </c>
      <c r="M3" s="5"/>
      <c r="O3" s="5"/>
      <c r="P3" s="12" t="s">
        <v>9</v>
      </c>
      <c r="Q3" s="13">
        <v>57.5</v>
      </c>
    </row>
    <row r="4">
      <c r="B4" s="7" t="s">
        <v>7</v>
      </c>
      <c r="C4" s="8">
        <v>2.0</v>
      </c>
      <c r="D4" s="7" t="s">
        <v>9</v>
      </c>
      <c r="E4" s="8">
        <v>1.0</v>
      </c>
      <c r="F4" s="9">
        <v>0.02</v>
      </c>
      <c r="G4" s="10">
        <v>2.0</v>
      </c>
      <c r="H4" s="11">
        <v>2.6981236249294</v>
      </c>
      <c r="I4" s="10">
        <v>1.0</v>
      </c>
      <c r="J4" s="11">
        <v>0.348535376942739</v>
      </c>
      <c r="K4" s="10">
        <v>1.0</v>
      </c>
      <c r="L4" s="7" t="str">
        <f t="shared" si="1"/>
        <v>descendente</v>
      </c>
      <c r="M4" s="5"/>
      <c r="N4" s="5"/>
      <c r="O4" s="5"/>
      <c r="P4" s="12" t="s">
        <v>7</v>
      </c>
      <c r="Q4" s="13">
        <v>38.0</v>
      </c>
    </row>
    <row r="5">
      <c r="B5" s="7" t="s">
        <v>7</v>
      </c>
      <c r="C5" s="8">
        <v>2.0</v>
      </c>
      <c r="D5" s="7" t="s">
        <v>10</v>
      </c>
      <c r="E5" s="8">
        <v>6.0</v>
      </c>
      <c r="F5" s="9">
        <v>0.41</v>
      </c>
      <c r="G5" s="10">
        <v>3.0</v>
      </c>
      <c r="H5" s="11">
        <v>6.23429727530136</v>
      </c>
      <c r="I5" s="10">
        <v>3.0</v>
      </c>
      <c r="J5" s="11">
        <v>0.671630991468122</v>
      </c>
      <c r="K5" s="10">
        <v>3.0</v>
      </c>
      <c r="L5" s="7" t="str">
        <f t="shared" si="1"/>
        <v>ascendente</v>
      </c>
      <c r="M5" s="5"/>
      <c r="O5" s="5"/>
      <c r="P5" s="12" t="s">
        <v>11</v>
      </c>
      <c r="Q5" s="13">
        <v>37.0</v>
      </c>
    </row>
    <row r="6">
      <c r="B6" s="7" t="s">
        <v>7</v>
      </c>
      <c r="C6" s="8">
        <v>2.0</v>
      </c>
      <c r="D6" s="7" t="s">
        <v>12</v>
      </c>
      <c r="E6" s="8">
        <v>5.0</v>
      </c>
      <c r="F6" s="9">
        <v>0.01</v>
      </c>
      <c r="G6" s="10">
        <v>1.0</v>
      </c>
      <c r="H6" s="11">
        <v>4.88609275708835</v>
      </c>
      <c r="I6" s="10">
        <v>2.0</v>
      </c>
      <c r="J6" s="11">
        <v>0.632546109189401</v>
      </c>
      <c r="K6" s="10">
        <v>2.0</v>
      </c>
      <c r="L6" s="7" t="str">
        <f t="shared" si="1"/>
        <v>ascendente</v>
      </c>
      <c r="M6" s="5"/>
      <c r="O6" s="5"/>
      <c r="P6" s="14" t="s">
        <v>8</v>
      </c>
      <c r="Q6" s="15">
        <v>34.0</v>
      </c>
    </row>
    <row r="7">
      <c r="B7" s="7" t="s">
        <v>7</v>
      </c>
      <c r="C7" s="8">
        <v>2.0</v>
      </c>
      <c r="D7" s="7" t="s">
        <v>11</v>
      </c>
      <c r="E7" s="8">
        <v>3.0</v>
      </c>
      <c r="F7" s="9">
        <v>0.75</v>
      </c>
      <c r="G7" s="10">
        <v>5.0</v>
      </c>
      <c r="H7" s="11">
        <v>8.65347289744825</v>
      </c>
      <c r="I7" s="10">
        <v>5.0</v>
      </c>
      <c r="J7" s="11">
        <v>0.866143901337158</v>
      </c>
      <c r="K7" s="10">
        <v>5.0</v>
      </c>
      <c r="L7" s="7" t="str">
        <f t="shared" si="1"/>
        <v>ascendente</v>
      </c>
      <c r="M7" s="5"/>
      <c r="N7" s="5"/>
      <c r="O7" s="5"/>
      <c r="P7" s="12" t="s">
        <v>12</v>
      </c>
      <c r="Q7" s="13">
        <v>28.5</v>
      </c>
    </row>
    <row r="8">
      <c r="B8" s="7" t="s">
        <v>12</v>
      </c>
      <c r="C8" s="8">
        <v>5.0</v>
      </c>
      <c r="D8" s="7" t="s">
        <v>8</v>
      </c>
      <c r="E8" s="8">
        <v>4.0</v>
      </c>
      <c r="F8" s="9">
        <v>0.29</v>
      </c>
      <c r="G8" s="10">
        <v>4.0</v>
      </c>
      <c r="H8" s="11">
        <v>6.44077369242262</v>
      </c>
      <c r="I8" s="10">
        <v>4.0</v>
      </c>
      <c r="J8" s="11">
        <v>0.749860359897417</v>
      </c>
      <c r="K8" s="10">
        <v>4.0</v>
      </c>
      <c r="L8" s="7" t="str">
        <f t="shared" si="1"/>
        <v>descendente</v>
      </c>
      <c r="M8" s="5"/>
      <c r="N8" s="5"/>
      <c r="O8" s="5"/>
      <c r="P8" s="16" t="s">
        <v>10</v>
      </c>
      <c r="Q8" s="17">
        <v>15.0</v>
      </c>
    </row>
    <row r="9">
      <c r="B9" s="7" t="s">
        <v>12</v>
      </c>
      <c r="C9" s="8">
        <v>5.0</v>
      </c>
      <c r="D9" s="7" t="s">
        <v>7</v>
      </c>
      <c r="E9" s="8">
        <v>2.0</v>
      </c>
      <c r="F9" s="9">
        <v>0.01</v>
      </c>
      <c r="G9" s="10">
        <v>1.0</v>
      </c>
      <c r="H9" s="11">
        <v>3.50483233481341</v>
      </c>
      <c r="I9" s="10">
        <v>2.0</v>
      </c>
      <c r="J9" s="11">
        <v>0.49946749017082</v>
      </c>
      <c r="K9" s="10">
        <v>1.5</v>
      </c>
      <c r="L9" s="7" t="str">
        <f t="shared" si="1"/>
        <v>descendente</v>
      </c>
    </row>
    <row r="10">
      <c r="B10" s="7" t="s">
        <v>12</v>
      </c>
      <c r="C10" s="8">
        <v>5.0</v>
      </c>
      <c r="D10" s="7" t="s">
        <v>9</v>
      </c>
      <c r="E10" s="8">
        <v>1.0</v>
      </c>
      <c r="F10" s="9">
        <v>0.02</v>
      </c>
      <c r="G10" s="10">
        <v>2.0</v>
      </c>
      <c r="H10" s="11">
        <v>2.66664666210598</v>
      </c>
      <c r="I10" s="10">
        <v>1.0</v>
      </c>
      <c r="J10" s="11">
        <v>0.439552179198841</v>
      </c>
      <c r="K10" s="10">
        <v>1.5</v>
      </c>
      <c r="L10" s="7" t="str">
        <f t="shared" si="1"/>
        <v>descendente</v>
      </c>
    </row>
    <row r="11">
      <c r="B11" s="7" t="s">
        <v>12</v>
      </c>
      <c r="C11" s="8">
        <v>5.0</v>
      </c>
      <c r="D11" s="7" t="s">
        <v>10</v>
      </c>
      <c r="E11" s="8">
        <v>6.0</v>
      </c>
      <c r="F11" s="9">
        <v>0.11</v>
      </c>
      <c r="G11" s="10">
        <v>3.0</v>
      </c>
      <c r="H11" s="11">
        <v>4.69867938412673</v>
      </c>
      <c r="I11" s="10">
        <v>3.0</v>
      </c>
      <c r="J11" s="11">
        <v>0.640508276461771</v>
      </c>
      <c r="K11" s="10">
        <v>3.0</v>
      </c>
      <c r="L11" s="7" t="str">
        <f t="shared" si="1"/>
        <v>ascendente</v>
      </c>
      <c r="P11" s="6" t="s">
        <v>13</v>
      </c>
      <c r="Q11" s="4"/>
    </row>
    <row r="12">
      <c r="B12" s="7" t="s">
        <v>12</v>
      </c>
      <c r="C12" s="8">
        <v>5.0</v>
      </c>
      <c r="D12" s="7" t="s">
        <v>11</v>
      </c>
      <c r="E12" s="8">
        <v>3.0</v>
      </c>
      <c r="F12" s="9">
        <v>0.67</v>
      </c>
      <c r="G12" s="10">
        <v>5.0</v>
      </c>
      <c r="H12" s="11">
        <v>8.66369820439858</v>
      </c>
      <c r="I12" s="10">
        <v>5.0</v>
      </c>
      <c r="J12" s="11">
        <v>0.883192645766453</v>
      </c>
      <c r="K12" s="10">
        <v>5.0</v>
      </c>
      <c r="L12" s="7" t="str">
        <f t="shared" si="1"/>
        <v>descendente</v>
      </c>
      <c r="P12" s="12" t="s">
        <v>11</v>
      </c>
      <c r="Q12" s="18">
        <v>70.5</v>
      </c>
    </row>
    <row r="13">
      <c r="B13" s="7" t="s">
        <v>8</v>
      </c>
      <c r="C13" s="8">
        <v>4.0</v>
      </c>
      <c r="D13" s="7" t="s">
        <v>7</v>
      </c>
      <c r="E13" s="8">
        <v>2.0</v>
      </c>
      <c r="F13" s="9">
        <v>0.2</v>
      </c>
      <c r="G13" s="10">
        <v>3.0</v>
      </c>
      <c r="H13" s="11">
        <v>6.08139435043989</v>
      </c>
      <c r="I13" s="10">
        <v>3.5</v>
      </c>
      <c r="J13" s="11">
        <v>0.674749163614092</v>
      </c>
      <c r="K13" s="10">
        <v>3.0</v>
      </c>
      <c r="L13" s="7" t="str">
        <f t="shared" si="1"/>
        <v>descendente</v>
      </c>
      <c r="P13" s="12" t="s">
        <v>8</v>
      </c>
      <c r="Q13" s="18">
        <v>66.5</v>
      </c>
    </row>
    <row r="14">
      <c r="B14" s="7" t="s">
        <v>8</v>
      </c>
      <c r="C14" s="8">
        <v>4.0</v>
      </c>
      <c r="D14" s="7" t="s">
        <v>9</v>
      </c>
      <c r="E14" s="8">
        <v>1.0</v>
      </c>
      <c r="F14" s="9">
        <v>0.0</v>
      </c>
      <c r="G14" s="10">
        <v>1.0</v>
      </c>
      <c r="H14" s="11">
        <v>2.59202379628729</v>
      </c>
      <c r="I14" s="10">
        <v>1.0</v>
      </c>
      <c r="J14" s="11">
        <v>0.373975331016558</v>
      </c>
      <c r="K14" s="10">
        <v>1.0</v>
      </c>
      <c r="L14" s="7" t="str">
        <f t="shared" si="1"/>
        <v>descendente</v>
      </c>
      <c r="P14" s="12" t="s">
        <v>10</v>
      </c>
      <c r="Q14" s="18">
        <v>45.5</v>
      </c>
    </row>
    <row r="15">
      <c r="B15" s="7" t="s">
        <v>8</v>
      </c>
      <c r="C15" s="8">
        <v>4.0</v>
      </c>
      <c r="D15" s="7" t="s">
        <v>10</v>
      </c>
      <c r="E15" s="8">
        <v>6.0</v>
      </c>
      <c r="F15" s="9">
        <v>0.36</v>
      </c>
      <c r="G15" s="10">
        <v>4.0</v>
      </c>
      <c r="H15" s="11">
        <v>6.15287979411477</v>
      </c>
      <c r="I15" s="10">
        <v>3.5</v>
      </c>
      <c r="J15" s="11">
        <v>0.641127325018446</v>
      </c>
      <c r="K15" s="10">
        <v>3.0</v>
      </c>
      <c r="L15" s="7" t="str">
        <f t="shared" si="1"/>
        <v>ascendente</v>
      </c>
      <c r="P15" s="12" t="s">
        <v>7</v>
      </c>
      <c r="Q15" s="18">
        <v>36.0</v>
      </c>
    </row>
    <row r="16">
      <c r="B16" s="7" t="s">
        <v>8</v>
      </c>
      <c r="C16" s="8">
        <v>4.0</v>
      </c>
      <c r="D16" s="7" t="s">
        <v>12</v>
      </c>
      <c r="E16" s="8">
        <v>5.0</v>
      </c>
      <c r="F16" s="9">
        <v>0.01</v>
      </c>
      <c r="G16" s="10">
        <v>2.0</v>
      </c>
      <c r="H16" s="11">
        <v>5.10944417122186</v>
      </c>
      <c r="I16" s="10">
        <v>2.0</v>
      </c>
      <c r="J16" s="11">
        <v>0.647808011376259</v>
      </c>
      <c r="K16" s="10">
        <v>3.0</v>
      </c>
      <c r="L16" s="7" t="str">
        <f t="shared" si="1"/>
        <v>ascendente</v>
      </c>
      <c r="P16" s="12" t="s">
        <v>12</v>
      </c>
      <c r="Q16" s="18">
        <v>34.0</v>
      </c>
    </row>
    <row r="17">
      <c r="B17" s="7" t="s">
        <v>8</v>
      </c>
      <c r="C17" s="8">
        <v>4.0</v>
      </c>
      <c r="D17" s="7" t="s">
        <v>11</v>
      </c>
      <c r="E17" s="8">
        <v>3.0</v>
      </c>
      <c r="F17" s="9">
        <v>0.82</v>
      </c>
      <c r="G17" s="10">
        <v>5.0</v>
      </c>
      <c r="H17" s="11">
        <v>8.84976135742703</v>
      </c>
      <c r="I17" s="10">
        <v>5.0</v>
      </c>
      <c r="J17" s="11">
        <v>0.860276480486667</v>
      </c>
      <c r="K17" s="10">
        <v>5.0</v>
      </c>
      <c r="L17" s="7" t="str">
        <f t="shared" si="1"/>
        <v>descendente</v>
      </c>
      <c r="P17" s="16" t="s">
        <v>9</v>
      </c>
      <c r="Q17" s="19">
        <v>17.5</v>
      </c>
    </row>
    <row r="18">
      <c r="B18" s="7" t="s">
        <v>9</v>
      </c>
      <c r="C18" s="8">
        <v>1.0</v>
      </c>
      <c r="D18" s="7" t="s">
        <v>8</v>
      </c>
      <c r="E18" s="8">
        <v>4.0</v>
      </c>
      <c r="F18" s="9">
        <v>0.09</v>
      </c>
      <c r="G18" s="10">
        <v>5.0</v>
      </c>
      <c r="H18" s="11">
        <v>5.21783232403454</v>
      </c>
      <c r="I18" s="10">
        <v>4.5</v>
      </c>
      <c r="J18" s="11">
        <v>0.442611597971161</v>
      </c>
      <c r="K18" s="10">
        <v>4.0</v>
      </c>
      <c r="L18" s="7" t="str">
        <f t="shared" si="1"/>
        <v>ascendente</v>
      </c>
    </row>
    <row r="19">
      <c r="B19" s="7" t="s">
        <v>9</v>
      </c>
      <c r="C19" s="8">
        <v>1.0</v>
      </c>
      <c r="D19" s="7" t="s">
        <v>7</v>
      </c>
      <c r="E19" s="8">
        <v>1.0</v>
      </c>
      <c r="F19" s="9">
        <v>0.0</v>
      </c>
      <c r="G19" s="10">
        <v>2.0</v>
      </c>
      <c r="H19" s="11">
        <v>1.50365806207633</v>
      </c>
      <c r="I19" s="10">
        <v>2.0</v>
      </c>
      <c r="J19" s="11">
        <v>0.20520661720655</v>
      </c>
      <c r="K19" s="10">
        <v>1.0</v>
      </c>
      <c r="L19" s="7" t="str">
        <f t="shared" si="1"/>
        <v>ascendente</v>
      </c>
    </row>
    <row r="20">
      <c r="B20" s="7" t="s">
        <v>9</v>
      </c>
      <c r="C20" s="8">
        <v>1.0</v>
      </c>
      <c r="D20" s="7" t="s">
        <v>10</v>
      </c>
      <c r="E20" s="8">
        <v>6.0</v>
      </c>
      <c r="F20" s="9">
        <v>0.0</v>
      </c>
      <c r="G20" s="10">
        <v>2.0</v>
      </c>
      <c r="H20" s="11">
        <v>1.20131903578166</v>
      </c>
      <c r="I20" s="10">
        <v>1.0</v>
      </c>
      <c r="J20" s="11">
        <v>0.388375227162626</v>
      </c>
      <c r="K20" s="10">
        <v>4.0</v>
      </c>
      <c r="L20" s="7" t="str">
        <f t="shared" si="1"/>
        <v>ascendente</v>
      </c>
    </row>
    <row r="21" ht="15.75" customHeight="1">
      <c r="B21" s="7" t="s">
        <v>9</v>
      </c>
      <c r="C21" s="8">
        <v>1.0</v>
      </c>
      <c r="D21" s="7" t="s">
        <v>12</v>
      </c>
      <c r="E21" s="8">
        <v>5.0</v>
      </c>
      <c r="F21" s="9">
        <v>0.0</v>
      </c>
      <c r="G21" s="10">
        <v>2.0</v>
      </c>
      <c r="H21" s="11">
        <v>2.41032240718933</v>
      </c>
      <c r="I21" s="10">
        <v>3.0</v>
      </c>
      <c r="J21" s="11">
        <v>0.361345910413047</v>
      </c>
      <c r="K21" s="10">
        <v>2.0</v>
      </c>
      <c r="L21" s="7" t="str">
        <f t="shared" si="1"/>
        <v>ascendente</v>
      </c>
      <c r="O21" s="20" t="s">
        <v>14</v>
      </c>
      <c r="P21" s="20" t="s">
        <v>15</v>
      </c>
      <c r="Q21" s="20" t="s">
        <v>16</v>
      </c>
      <c r="R21" s="20" t="s">
        <v>17</v>
      </c>
      <c r="S21" s="20" t="s">
        <v>5</v>
      </c>
    </row>
    <row r="22" ht="15.75" customHeight="1">
      <c r="B22" s="7" t="s">
        <v>9</v>
      </c>
      <c r="C22" s="8">
        <v>1.0</v>
      </c>
      <c r="D22" s="7" t="s">
        <v>11</v>
      </c>
      <c r="E22" s="8">
        <v>3.0</v>
      </c>
      <c r="F22" s="9">
        <v>0.06</v>
      </c>
      <c r="G22" s="10">
        <v>4.0</v>
      </c>
      <c r="H22" s="11">
        <v>5.85051122693069</v>
      </c>
      <c r="I22" s="10">
        <v>4.5</v>
      </c>
      <c r="J22" s="11">
        <v>0.433762667778861</v>
      </c>
      <c r="K22" s="10">
        <v>4.0</v>
      </c>
      <c r="L22" s="7" t="str">
        <f t="shared" si="1"/>
        <v>ascendente</v>
      </c>
      <c r="O22" s="12" t="s">
        <v>9</v>
      </c>
      <c r="P22" s="5">
        <v>2.0</v>
      </c>
      <c r="Q22" s="5">
        <v>2.0</v>
      </c>
      <c r="R22" s="21">
        <f t="shared" ref="R22:R27" si="2">(P22+Q22)/500</f>
        <v>0.008</v>
      </c>
      <c r="S22" s="5" t="s">
        <v>18</v>
      </c>
    </row>
    <row r="23" ht="15.75" customHeight="1">
      <c r="B23" s="7" t="s">
        <v>11</v>
      </c>
      <c r="C23" s="8">
        <v>3.0</v>
      </c>
      <c r="D23" s="7" t="s">
        <v>8</v>
      </c>
      <c r="E23" s="8">
        <v>4.0</v>
      </c>
      <c r="F23" s="9">
        <v>0.44</v>
      </c>
      <c r="G23" s="10">
        <v>5.0</v>
      </c>
      <c r="H23" s="11">
        <v>6.59922099867098</v>
      </c>
      <c r="I23" s="10">
        <v>5.0</v>
      </c>
      <c r="J23" s="11">
        <v>0.742396357844215</v>
      </c>
      <c r="K23" s="10">
        <v>5.0</v>
      </c>
      <c r="L23" s="7" t="str">
        <f t="shared" si="1"/>
        <v>ascendente</v>
      </c>
      <c r="O23" s="12" t="s">
        <v>7</v>
      </c>
      <c r="P23" s="5">
        <v>25.0</v>
      </c>
      <c r="Q23" s="5">
        <v>29.0</v>
      </c>
      <c r="R23" s="21">
        <f t="shared" si="2"/>
        <v>0.108</v>
      </c>
      <c r="S23" s="5" t="s">
        <v>19</v>
      </c>
    </row>
    <row r="24" ht="15.75" customHeight="1">
      <c r="B24" s="7" t="s">
        <v>11</v>
      </c>
      <c r="C24" s="8">
        <v>3.0</v>
      </c>
      <c r="D24" s="7" t="s">
        <v>7</v>
      </c>
      <c r="E24" s="8">
        <v>2.0</v>
      </c>
      <c r="F24" s="9">
        <v>0.15</v>
      </c>
      <c r="G24" s="10">
        <v>3.0</v>
      </c>
      <c r="H24" s="11">
        <v>5.18105977256365</v>
      </c>
      <c r="I24" s="10">
        <v>3.0</v>
      </c>
      <c r="J24" s="11">
        <v>0.634368728181155</v>
      </c>
      <c r="K24" s="10">
        <v>3.0</v>
      </c>
      <c r="L24" s="7" t="str">
        <f t="shared" si="1"/>
        <v>descendente</v>
      </c>
      <c r="O24" s="12" t="s">
        <v>11</v>
      </c>
      <c r="P24" s="22">
        <f>(75+41)</f>
        <v>116</v>
      </c>
      <c r="Q24" s="23">
        <f>41+67+52</f>
        <v>160</v>
      </c>
      <c r="R24" s="21">
        <f t="shared" si="2"/>
        <v>0.552</v>
      </c>
      <c r="S24" s="5" t="s">
        <v>19</v>
      </c>
    </row>
    <row r="25" ht="15.75" customHeight="1">
      <c r="B25" s="7" t="s">
        <v>11</v>
      </c>
      <c r="C25" s="8">
        <v>3.0</v>
      </c>
      <c r="D25" s="7" t="s">
        <v>9</v>
      </c>
      <c r="E25" s="8">
        <v>1.0</v>
      </c>
      <c r="F25" s="9">
        <v>0.0</v>
      </c>
      <c r="G25" s="10">
        <v>1.0</v>
      </c>
      <c r="H25" s="11">
        <v>2.28365023211403</v>
      </c>
      <c r="I25" s="10">
        <v>1.0</v>
      </c>
      <c r="J25" s="11">
        <v>0.337274190698089</v>
      </c>
      <c r="K25" s="10">
        <v>1.0</v>
      </c>
      <c r="L25" s="7" t="str">
        <f t="shared" si="1"/>
        <v>descendente</v>
      </c>
      <c r="O25" s="12" t="s">
        <v>8</v>
      </c>
      <c r="P25" s="23">
        <f>54+9+22</f>
        <v>85</v>
      </c>
      <c r="Q25" s="23">
        <f>22+29+61</f>
        <v>112</v>
      </c>
      <c r="R25" s="21">
        <f t="shared" si="2"/>
        <v>0.394</v>
      </c>
      <c r="S25" s="5" t="s">
        <v>19</v>
      </c>
    </row>
    <row r="26" ht="15.75" customHeight="1">
      <c r="B26" s="7" t="s">
        <v>11</v>
      </c>
      <c r="C26" s="8">
        <v>3.0</v>
      </c>
      <c r="D26" s="7" t="s">
        <v>10</v>
      </c>
      <c r="E26" s="8">
        <v>6.0</v>
      </c>
      <c r="F26" s="9">
        <v>0.18</v>
      </c>
      <c r="G26" s="10">
        <v>4.0</v>
      </c>
      <c r="H26" s="11">
        <v>4.68492450988717</v>
      </c>
      <c r="I26" s="10">
        <v>3.0</v>
      </c>
      <c r="J26" s="11">
        <v>0.603771338230954</v>
      </c>
      <c r="K26" s="10">
        <v>3.0</v>
      </c>
      <c r="L26" s="7" t="str">
        <f t="shared" si="1"/>
        <v>ascendente</v>
      </c>
      <c r="O26" s="12" t="s">
        <v>12</v>
      </c>
      <c r="P26" s="23">
        <f>1+0.5</f>
        <v>1.5</v>
      </c>
      <c r="Q26" s="23">
        <f>0.5+1+17</f>
        <v>18.5</v>
      </c>
      <c r="R26" s="21">
        <f t="shared" si="2"/>
        <v>0.04</v>
      </c>
      <c r="S26" s="5" t="s">
        <v>19</v>
      </c>
    </row>
    <row r="27" ht="15.75" customHeight="1">
      <c r="B27" s="7" t="s">
        <v>11</v>
      </c>
      <c r="C27" s="8">
        <v>3.0</v>
      </c>
      <c r="D27" s="7" t="s">
        <v>12</v>
      </c>
      <c r="E27" s="8">
        <v>5.0</v>
      </c>
      <c r="F27" s="9">
        <v>0.01</v>
      </c>
      <c r="G27" s="10">
        <v>2.0</v>
      </c>
      <c r="H27" s="11">
        <v>5.03708108574151</v>
      </c>
      <c r="I27" s="10">
        <v>3.0</v>
      </c>
      <c r="J27" s="11">
        <v>0.637423722542483</v>
      </c>
      <c r="K27" s="10">
        <v>3.0</v>
      </c>
      <c r="L27" s="7" t="str">
        <f t="shared" si="1"/>
        <v>ascendente</v>
      </c>
      <c r="O27" s="16" t="s">
        <v>10</v>
      </c>
      <c r="P27" s="24">
        <f>41+9</f>
        <v>50</v>
      </c>
      <c r="Q27" s="24">
        <f>9+36+11</f>
        <v>56</v>
      </c>
      <c r="R27" s="25">
        <f t="shared" si="2"/>
        <v>0.212</v>
      </c>
      <c r="S27" s="26" t="s">
        <v>19</v>
      </c>
    </row>
    <row r="28" ht="15.75" customHeight="1">
      <c r="B28" s="7" t="s">
        <v>10</v>
      </c>
      <c r="C28" s="8">
        <v>6.0</v>
      </c>
      <c r="D28" s="7" t="s">
        <v>8</v>
      </c>
      <c r="E28" s="8">
        <v>4.0</v>
      </c>
      <c r="F28" s="9">
        <v>0.61</v>
      </c>
      <c r="G28" s="10">
        <v>5.0</v>
      </c>
      <c r="H28" s="11">
        <v>8.27527013294292</v>
      </c>
      <c r="I28" s="10">
        <v>4.5</v>
      </c>
      <c r="J28" s="11">
        <v>0.886200848212109</v>
      </c>
      <c r="K28" s="10">
        <v>4.5</v>
      </c>
      <c r="L28" s="7" t="str">
        <f t="shared" si="1"/>
        <v>descendente</v>
      </c>
    </row>
    <row r="29" ht="15.75" customHeight="1">
      <c r="B29" s="7" t="s">
        <v>10</v>
      </c>
      <c r="C29" s="8">
        <v>6.0</v>
      </c>
      <c r="D29" s="7" t="s">
        <v>7</v>
      </c>
      <c r="E29" s="8">
        <v>2.0</v>
      </c>
      <c r="F29" s="9">
        <v>0.17</v>
      </c>
      <c r="G29" s="10">
        <v>2.5</v>
      </c>
      <c r="H29" s="11">
        <v>6.74973839006719</v>
      </c>
      <c r="I29" s="10">
        <v>2.5</v>
      </c>
      <c r="J29" s="11">
        <v>0.874079517806585</v>
      </c>
      <c r="K29" s="10">
        <v>3.0</v>
      </c>
      <c r="L29" s="7" t="str">
        <f t="shared" si="1"/>
        <v>descendente</v>
      </c>
    </row>
    <row r="30" ht="15.75" customHeight="1">
      <c r="B30" s="7" t="s">
        <v>10</v>
      </c>
      <c r="C30" s="8">
        <v>6.0</v>
      </c>
      <c r="D30" s="7" t="s">
        <v>9</v>
      </c>
      <c r="E30" s="8">
        <v>1.0</v>
      </c>
      <c r="F30" s="9">
        <v>0.0</v>
      </c>
      <c r="G30" s="10">
        <v>1.0</v>
      </c>
      <c r="H30" s="11">
        <v>2.34353803377908</v>
      </c>
      <c r="I30" s="10">
        <v>1.0</v>
      </c>
      <c r="J30" s="11">
        <v>0.474939557199168</v>
      </c>
      <c r="K30" s="10">
        <v>1.0</v>
      </c>
      <c r="L30" s="7" t="str">
        <f t="shared" si="1"/>
        <v>descendente</v>
      </c>
    </row>
    <row r="31" ht="15.75" customHeight="1">
      <c r="B31" s="7" t="s">
        <v>10</v>
      </c>
      <c r="C31" s="8">
        <v>6.0</v>
      </c>
      <c r="D31" s="7" t="s">
        <v>12</v>
      </c>
      <c r="E31" s="8">
        <v>5.0</v>
      </c>
      <c r="F31" s="9">
        <v>0.17</v>
      </c>
      <c r="G31" s="10">
        <v>2.5</v>
      </c>
      <c r="H31" s="11">
        <v>6.62742069484071</v>
      </c>
      <c r="I31" s="10">
        <v>2.5</v>
      </c>
      <c r="J31" s="11">
        <v>0.796654433700534</v>
      </c>
      <c r="K31" s="10">
        <v>2.0</v>
      </c>
      <c r="L31" s="7" t="str">
        <f t="shared" si="1"/>
        <v>descendente</v>
      </c>
    </row>
    <row r="32" ht="15.75" customHeight="1">
      <c r="B32" s="27" t="s">
        <v>10</v>
      </c>
      <c r="C32" s="28">
        <v>6.0</v>
      </c>
      <c r="D32" s="27" t="s">
        <v>11</v>
      </c>
      <c r="E32" s="28">
        <v>3.0</v>
      </c>
      <c r="F32" s="29">
        <v>0.52</v>
      </c>
      <c r="G32" s="30">
        <v>4.0</v>
      </c>
      <c r="H32" s="31">
        <v>8.1067674580291</v>
      </c>
      <c r="I32" s="30">
        <v>4.5</v>
      </c>
      <c r="J32" s="31">
        <v>0.945629569887672</v>
      </c>
      <c r="K32" s="30">
        <v>4.5</v>
      </c>
      <c r="L32" s="27" t="str">
        <f t="shared" si="1"/>
        <v>descendente</v>
      </c>
    </row>
    <row r="33" ht="15.75" customHeight="1">
      <c r="G33" s="1"/>
      <c r="I33" s="1"/>
    </row>
    <row r="34" ht="15.75" customHeight="1">
      <c r="G34" s="1"/>
      <c r="I34" s="1"/>
    </row>
    <row r="35" ht="15.75" customHeight="1">
      <c r="B35" s="12" t="s">
        <v>9</v>
      </c>
      <c r="D35" s="18">
        <f>G4+I4+G10+I10+K10+K4+G14+I14+K14+G25+I25+K25+G30+I30+K30</f>
        <v>17.5</v>
      </c>
      <c r="G35" s="12"/>
      <c r="I35" s="1"/>
    </row>
    <row r="36" ht="15.75" customHeight="1">
      <c r="B36" s="12" t="s">
        <v>7</v>
      </c>
      <c r="D36" s="18">
        <f>G9+I9+K9+G13+I13+K13+G19+I19+K19+G24+I24+K24+G29+I29+K29</f>
        <v>36</v>
      </c>
      <c r="G36" s="12"/>
      <c r="I36" s="1"/>
    </row>
    <row r="37" ht="15.75" customHeight="1">
      <c r="B37" s="12" t="s">
        <v>11</v>
      </c>
      <c r="D37" s="18">
        <f>G7+I7+K7+G12+I12+K12+G17+I17+K17+G22+I22+K22+G32+I32+K32</f>
        <v>70.5</v>
      </c>
      <c r="G37" s="12"/>
      <c r="H37" s="32"/>
      <c r="I37" s="1"/>
    </row>
    <row r="38" ht="15.75" customHeight="1">
      <c r="B38" s="12" t="s">
        <v>8</v>
      </c>
      <c r="D38" s="18">
        <f>G3+I3+K3+G8+I8+K8+G18+I18+K18+G23+I23+K23+G28+I28+K28</f>
        <v>66.5</v>
      </c>
      <c r="G38" s="12"/>
      <c r="I38" s="1"/>
    </row>
    <row r="39" ht="15.75" customHeight="1">
      <c r="B39" s="12" t="s">
        <v>12</v>
      </c>
      <c r="D39" s="18">
        <f>G6+I6+K6+G16+I16+K16+G21+I21+K21+G27+I27+K27+G31+I31+K31</f>
        <v>34</v>
      </c>
      <c r="G39" s="12"/>
      <c r="I39" s="1"/>
    </row>
    <row r="40" ht="15.75" customHeight="1">
      <c r="B40" s="12" t="s">
        <v>10</v>
      </c>
      <c r="D40" s="18">
        <f>G5+I5+K5+G11+I11+K11+G15+I15+K15+G20+I20+K20+G26+I26+K26</f>
        <v>45.5</v>
      </c>
      <c r="G40" s="12"/>
      <c r="I40" s="1"/>
    </row>
    <row r="41" ht="15.75" customHeight="1">
      <c r="G41" s="1"/>
      <c r="I41" s="1"/>
    </row>
    <row r="42" ht="15.75" customHeight="1">
      <c r="G42" s="1"/>
      <c r="I42" s="1"/>
    </row>
    <row r="43" ht="15.75" customHeight="1">
      <c r="G43" s="1"/>
      <c r="I43" s="1"/>
    </row>
    <row r="44" ht="15.75" customHeight="1">
      <c r="G44" s="1"/>
      <c r="I44" s="1"/>
    </row>
    <row r="45" ht="15.75" customHeight="1">
      <c r="G45" s="1"/>
      <c r="I45" s="1"/>
    </row>
    <row r="46" ht="15.75" customHeight="1">
      <c r="G46" s="1"/>
      <c r="I46" s="1"/>
    </row>
    <row r="47" ht="15.75" customHeight="1">
      <c r="G47" s="1"/>
      <c r="I47" s="1"/>
    </row>
    <row r="48" ht="15.75" customHeight="1">
      <c r="G48" s="1"/>
      <c r="I48" s="1"/>
    </row>
    <row r="49" ht="15.75" customHeight="1">
      <c r="G49" s="1"/>
      <c r="I49" s="1"/>
    </row>
    <row r="50" ht="15.75" customHeight="1">
      <c r="G50" s="1"/>
      <c r="I50" s="1"/>
    </row>
    <row r="51" ht="15.75" customHeight="1">
      <c r="G51" s="1"/>
      <c r="I51" s="1"/>
    </row>
    <row r="52" ht="15.75" customHeight="1">
      <c r="G52" s="1"/>
      <c r="I52" s="1"/>
    </row>
    <row r="53" ht="15.75" customHeight="1">
      <c r="G53" s="1"/>
      <c r="I53" s="1"/>
    </row>
    <row r="54" ht="15.75" customHeight="1">
      <c r="G54" s="1"/>
      <c r="I54" s="1"/>
    </row>
    <row r="55" ht="15.75" customHeight="1">
      <c r="G55" s="1"/>
      <c r="I55" s="1"/>
    </row>
    <row r="56" ht="15.75" customHeight="1">
      <c r="G56" s="1"/>
      <c r="I56" s="1"/>
    </row>
    <row r="57" ht="15.75" customHeight="1">
      <c r="G57" s="1"/>
      <c r="I57" s="1"/>
    </row>
    <row r="58" ht="15.75" customHeight="1">
      <c r="G58" s="1"/>
      <c r="I58" s="1"/>
    </row>
    <row r="59" ht="15.75" customHeight="1">
      <c r="G59" s="1"/>
      <c r="I59" s="1"/>
    </row>
    <row r="60" ht="15.75" customHeight="1">
      <c r="G60" s="1"/>
      <c r="I60" s="1"/>
    </row>
    <row r="61" ht="15.75" customHeight="1">
      <c r="G61" s="1"/>
      <c r="I61" s="1"/>
    </row>
    <row r="62" ht="15.75" customHeight="1">
      <c r="G62" s="1"/>
      <c r="I62" s="1"/>
    </row>
    <row r="63" ht="15.75" customHeight="1">
      <c r="G63" s="1"/>
      <c r="I63" s="1"/>
    </row>
    <row r="64" ht="15.75" customHeight="1">
      <c r="G64" s="1"/>
      <c r="I64" s="1"/>
    </row>
    <row r="65" ht="15.75" customHeight="1">
      <c r="G65" s="1"/>
      <c r="I65" s="1"/>
    </row>
    <row r="66" ht="15.75" customHeight="1">
      <c r="G66" s="1"/>
      <c r="I66" s="1"/>
    </row>
    <row r="67" ht="15.75" customHeight="1">
      <c r="G67" s="1"/>
      <c r="I67" s="1"/>
    </row>
    <row r="68" ht="15.75" customHeight="1">
      <c r="G68" s="1"/>
      <c r="I68" s="1"/>
    </row>
    <row r="69" ht="15.75" customHeight="1">
      <c r="G69" s="1"/>
      <c r="I69" s="1"/>
    </row>
    <row r="70" ht="15.75" customHeight="1">
      <c r="G70" s="1"/>
      <c r="I70" s="1"/>
    </row>
    <row r="71" ht="15.75" customHeight="1">
      <c r="G71" s="1"/>
      <c r="I71" s="1"/>
    </row>
    <row r="72" ht="15.75" customHeight="1">
      <c r="G72" s="1"/>
      <c r="I72" s="1"/>
    </row>
    <row r="73" ht="15.75" customHeight="1">
      <c r="G73" s="1"/>
      <c r="I73" s="1"/>
    </row>
    <row r="74" ht="15.75" customHeight="1">
      <c r="G74" s="1"/>
      <c r="I74" s="1"/>
    </row>
    <row r="75" ht="15.75" customHeight="1">
      <c r="G75" s="1"/>
      <c r="I75" s="1"/>
    </row>
    <row r="76" ht="15.75" customHeight="1">
      <c r="G76" s="1"/>
      <c r="I76" s="1"/>
    </row>
    <row r="77" ht="15.75" customHeight="1">
      <c r="G77" s="1"/>
      <c r="I77" s="1"/>
    </row>
    <row r="78" ht="15.75" customHeight="1">
      <c r="G78" s="1"/>
      <c r="I78" s="1"/>
    </row>
    <row r="79" ht="15.75" customHeight="1">
      <c r="G79" s="1"/>
      <c r="I79" s="1"/>
    </row>
    <row r="80" ht="15.75" customHeight="1">
      <c r="G80" s="1"/>
      <c r="I80" s="1"/>
    </row>
    <row r="81" ht="15.75" customHeight="1">
      <c r="G81" s="1"/>
      <c r="I81" s="1"/>
    </row>
    <row r="82" ht="15.75" customHeight="1">
      <c r="G82" s="1"/>
      <c r="I82" s="1"/>
    </row>
    <row r="83" ht="15.75" customHeight="1">
      <c r="G83" s="1"/>
      <c r="I83" s="1"/>
    </row>
    <row r="84" ht="15.75" customHeight="1">
      <c r="G84" s="1"/>
      <c r="I84" s="1"/>
    </row>
    <row r="85" ht="15.75" customHeight="1">
      <c r="G85" s="1"/>
      <c r="I85" s="1"/>
    </row>
    <row r="86" ht="15.75" customHeight="1">
      <c r="G86" s="1"/>
      <c r="I86" s="1"/>
    </row>
    <row r="87" ht="15.75" customHeight="1">
      <c r="G87" s="1"/>
      <c r="I87" s="1"/>
    </row>
    <row r="88" ht="15.75" customHeight="1">
      <c r="G88" s="1"/>
      <c r="I88" s="1"/>
    </row>
    <row r="89" ht="15.75" customHeight="1">
      <c r="G89" s="1"/>
      <c r="I89" s="1"/>
    </row>
    <row r="90" ht="15.75" customHeight="1">
      <c r="G90" s="1"/>
      <c r="I90" s="1"/>
    </row>
    <row r="91" ht="15.75" customHeight="1">
      <c r="G91" s="1"/>
      <c r="I91" s="1"/>
    </row>
    <row r="92" ht="15.75" customHeight="1">
      <c r="G92" s="1"/>
      <c r="I92" s="1"/>
    </row>
    <row r="93" ht="15.75" customHeight="1">
      <c r="G93" s="1"/>
      <c r="I93" s="1"/>
    </row>
    <row r="94" ht="15.75" customHeight="1">
      <c r="G94" s="1"/>
      <c r="I94" s="1"/>
    </row>
    <row r="95" ht="15.75" customHeight="1">
      <c r="G95" s="1"/>
      <c r="I95" s="1"/>
    </row>
    <row r="96" ht="15.75" customHeight="1">
      <c r="G96" s="1"/>
      <c r="I96" s="1"/>
    </row>
    <row r="97" ht="15.75" customHeight="1">
      <c r="G97" s="1"/>
      <c r="I97" s="1"/>
    </row>
    <row r="98" ht="15.75" customHeight="1">
      <c r="G98" s="1"/>
      <c r="I98" s="1"/>
    </row>
    <row r="99" ht="15.75" customHeight="1">
      <c r="G99" s="1"/>
      <c r="I99" s="1"/>
    </row>
    <row r="100" ht="15.75" customHeight="1">
      <c r="G100" s="1"/>
      <c r="I100" s="1"/>
    </row>
    <row r="101" ht="15.75" customHeight="1">
      <c r="G101" s="1"/>
      <c r="I101" s="1"/>
    </row>
    <row r="102" ht="15.75" customHeight="1">
      <c r="G102" s="1"/>
      <c r="I102" s="1"/>
    </row>
    <row r="103" ht="15.75" customHeight="1">
      <c r="G103" s="1"/>
      <c r="I103" s="1"/>
    </row>
    <row r="104" ht="15.75" customHeight="1">
      <c r="G104" s="1"/>
      <c r="I104" s="1"/>
    </row>
    <row r="105" ht="15.75" customHeight="1">
      <c r="G105" s="1"/>
      <c r="I105" s="1"/>
    </row>
    <row r="106" ht="15.75" customHeight="1">
      <c r="G106" s="1"/>
      <c r="I106" s="1"/>
    </row>
    <row r="107" ht="15.75" customHeight="1">
      <c r="G107" s="1"/>
      <c r="I107" s="1"/>
    </row>
    <row r="108" ht="15.75" customHeight="1">
      <c r="G108" s="1"/>
      <c r="I108" s="1"/>
    </row>
    <row r="109" ht="15.75" customHeight="1">
      <c r="G109" s="1"/>
      <c r="I109" s="1"/>
    </row>
    <row r="110" ht="15.75" customHeight="1">
      <c r="G110" s="1"/>
      <c r="I110" s="1"/>
    </row>
    <row r="111" ht="15.75" customHeight="1">
      <c r="G111" s="1"/>
      <c r="I111" s="1"/>
    </row>
    <row r="112" ht="15.75" customHeight="1">
      <c r="G112" s="1"/>
      <c r="I112" s="1"/>
    </row>
    <row r="113" ht="15.75" customHeight="1">
      <c r="G113" s="1"/>
      <c r="I113" s="1"/>
    </row>
    <row r="114" ht="15.75" customHeight="1">
      <c r="G114" s="1"/>
      <c r="I114" s="1"/>
    </row>
    <row r="115" ht="15.75" customHeight="1">
      <c r="G115" s="1"/>
      <c r="I115" s="1"/>
    </row>
    <row r="116" ht="15.75" customHeight="1">
      <c r="G116" s="1"/>
      <c r="I116" s="1"/>
    </row>
    <row r="117" ht="15.75" customHeight="1">
      <c r="G117" s="1"/>
      <c r="I117" s="1"/>
    </row>
    <row r="118" ht="15.75" customHeight="1">
      <c r="G118" s="1"/>
      <c r="I118" s="1"/>
    </row>
    <row r="119" ht="15.75" customHeight="1">
      <c r="G119" s="1"/>
      <c r="I119" s="1"/>
    </row>
    <row r="120" ht="15.75" customHeight="1">
      <c r="G120" s="1"/>
      <c r="I120" s="1"/>
    </row>
    <row r="121" ht="15.75" customHeight="1">
      <c r="G121" s="1"/>
      <c r="I121" s="1"/>
    </row>
    <row r="122" ht="15.75" customHeight="1">
      <c r="G122" s="1"/>
      <c r="I122" s="1"/>
    </row>
    <row r="123" ht="15.75" customHeight="1">
      <c r="G123" s="1"/>
      <c r="I123" s="1"/>
    </row>
    <row r="124" ht="15.75" customHeight="1">
      <c r="G124" s="1"/>
      <c r="I124" s="1"/>
    </row>
    <row r="125" ht="15.75" customHeight="1">
      <c r="G125" s="1"/>
      <c r="I125" s="1"/>
    </row>
    <row r="126" ht="15.75" customHeight="1">
      <c r="G126" s="1"/>
      <c r="I126" s="1"/>
    </row>
    <row r="127" ht="15.75" customHeight="1">
      <c r="G127" s="1"/>
      <c r="I127" s="1"/>
    </row>
    <row r="128" ht="15.75" customHeight="1">
      <c r="G128" s="1"/>
      <c r="I128" s="1"/>
    </row>
    <row r="129" ht="15.75" customHeight="1">
      <c r="G129" s="1"/>
      <c r="I129" s="1"/>
    </row>
    <row r="130" ht="15.75" customHeight="1">
      <c r="G130" s="1"/>
      <c r="I130" s="1"/>
    </row>
    <row r="131" ht="15.75" customHeight="1">
      <c r="G131" s="1"/>
      <c r="I131" s="1"/>
    </row>
    <row r="132" ht="15.75" customHeight="1">
      <c r="G132" s="1"/>
      <c r="I132" s="1"/>
    </row>
    <row r="133" ht="15.75" customHeight="1">
      <c r="G133" s="1"/>
      <c r="I133" s="1"/>
    </row>
    <row r="134" ht="15.75" customHeight="1">
      <c r="G134" s="1"/>
      <c r="I134" s="1"/>
    </row>
    <row r="135" ht="15.75" customHeight="1">
      <c r="G135" s="1"/>
      <c r="I135" s="1"/>
    </row>
    <row r="136" ht="15.75" customHeight="1">
      <c r="G136" s="1"/>
      <c r="I136" s="1"/>
    </row>
    <row r="137" ht="15.75" customHeight="1">
      <c r="G137" s="1"/>
      <c r="I137" s="1"/>
    </row>
    <row r="138" ht="15.75" customHeight="1">
      <c r="G138" s="1"/>
      <c r="I138" s="1"/>
    </row>
    <row r="139" ht="15.75" customHeight="1">
      <c r="G139" s="1"/>
      <c r="I139" s="1"/>
    </row>
    <row r="140" ht="15.75" customHeight="1">
      <c r="G140" s="1"/>
      <c r="I140" s="1"/>
    </row>
    <row r="141" ht="15.75" customHeight="1">
      <c r="G141" s="1"/>
      <c r="I141" s="1"/>
    </row>
    <row r="142" ht="15.75" customHeight="1">
      <c r="G142" s="1"/>
      <c r="I142" s="1"/>
    </row>
    <row r="143" ht="15.75" customHeight="1">
      <c r="G143" s="1"/>
      <c r="I143" s="1"/>
    </row>
    <row r="144" ht="15.75" customHeight="1">
      <c r="G144" s="1"/>
      <c r="I144" s="1"/>
    </row>
    <row r="145" ht="15.75" customHeight="1">
      <c r="G145" s="1"/>
      <c r="I145" s="1"/>
    </row>
    <row r="146" ht="15.75" customHeight="1">
      <c r="G146" s="1"/>
      <c r="I146" s="1"/>
    </row>
    <row r="147" ht="15.75" customHeight="1">
      <c r="G147" s="1"/>
      <c r="I147" s="1"/>
    </row>
    <row r="148" ht="15.75" customHeight="1">
      <c r="G148" s="1"/>
      <c r="I148" s="1"/>
    </row>
    <row r="149" ht="15.75" customHeight="1">
      <c r="G149" s="1"/>
      <c r="I149" s="1"/>
    </row>
    <row r="150" ht="15.75" customHeight="1">
      <c r="G150" s="1"/>
      <c r="I150" s="1"/>
    </row>
    <row r="151" ht="15.75" customHeight="1">
      <c r="G151" s="1"/>
      <c r="I151" s="1"/>
    </row>
    <row r="152" ht="15.75" customHeight="1">
      <c r="G152" s="1"/>
      <c r="I152" s="1"/>
    </row>
    <row r="153" ht="15.75" customHeight="1">
      <c r="G153" s="1"/>
      <c r="I153" s="1"/>
    </row>
    <row r="154" ht="15.75" customHeight="1">
      <c r="G154" s="1"/>
      <c r="I154" s="1"/>
    </row>
    <row r="155" ht="15.75" customHeight="1">
      <c r="G155" s="1"/>
      <c r="I155" s="1"/>
    </row>
    <row r="156" ht="15.75" customHeight="1">
      <c r="G156" s="1"/>
      <c r="I156" s="1"/>
    </row>
    <row r="157" ht="15.75" customHeight="1">
      <c r="G157" s="1"/>
      <c r="I157" s="1"/>
    </row>
    <row r="158" ht="15.75" customHeight="1">
      <c r="G158" s="1"/>
      <c r="I158" s="1"/>
    </row>
    <row r="159" ht="15.75" customHeight="1">
      <c r="G159" s="1"/>
      <c r="I159" s="1"/>
    </row>
    <row r="160" ht="15.75" customHeight="1">
      <c r="G160" s="1"/>
      <c r="I160" s="1"/>
    </row>
    <row r="161" ht="15.75" customHeight="1">
      <c r="G161" s="1"/>
      <c r="I161" s="1"/>
    </row>
    <row r="162" ht="15.75" customHeight="1">
      <c r="G162" s="1"/>
      <c r="I162" s="1"/>
    </row>
    <row r="163" ht="15.75" customHeight="1">
      <c r="G163" s="1"/>
      <c r="I163" s="1"/>
    </row>
    <row r="164" ht="15.75" customHeight="1">
      <c r="G164" s="1"/>
      <c r="I164" s="1"/>
    </row>
    <row r="165" ht="15.75" customHeight="1">
      <c r="G165" s="1"/>
      <c r="I165" s="1"/>
    </row>
    <row r="166" ht="15.75" customHeight="1">
      <c r="G166" s="1"/>
      <c r="I166" s="1"/>
    </row>
    <row r="167" ht="15.75" customHeight="1">
      <c r="G167" s="1"/>
      <c r="I167" s="1"/>
    </row>
    <row r="168" ht="15.75" customHeight="1">
      <c r="G168" s="1"/>
      <c r="I168" s="1"/>
    </row>
    <row r="169" ht="15.75" customHeight="1">
      <c r="G169" s="1"/>
      <c r="I169" s="1"/>
    </row>
    <row r="170" ht="15.75" customHeight="1">
      <c r="G170" s="1"/>
      <c r="I170" s="1"/>
    </row>
    <row r="171" ht="15.75" customHeight="1">
      <c r="G171" s="1"/>
      <c r="I171" s="1"/>
    </row>
    <row r="172" ht="15.75" customHeight="1">
      <c r="G172" s="1"/>
      <c r="I172" s="1"/>
    </row>
    <row r="173" ht="15.75" customHeight="1">
      <c r="G173" s="1"/>
      <c r="I173" s="1"/>
    </row>
    <row r="174" ht="15.75" customHeight="1">
      <c r="G174" s="1"/>
      <c r="I174" s="1"/>
    </row>
    <row r="175" ht="15.75" customHeight="1">
      <c r="G175" s="1"/>
      <c r="I175" s="1"/>
    </row>
    <row r="176" ht="15.75" customHeight="1">
      <c r="G176" s="1"/>
      <c r="I176" s="1"/>
    </row>
    <row r="177" ht="15.75" customHeight="1">
      <c r="G177" s="1"/>
      <c r="I177" s="1"/>
    </row>
    <row r="178" ht="15.75" customHeight="1">
      <c r="G178" s="1"/>
      <c r="I178" s="1"/>
    </row>
    <row r="179" ht="15.75" customHeight="1">
      <c r="G179" s="1"/>
      <c r="I179" s="1"/>
    </row>
    <row r="180" ht="15.75" customHeight="1">
      <c r="G180" s="1"/>
      <c r="I180" s="1"/>
    </row>
    <row r="181" ht="15.75" customHeight="1">
      <c r="G181" s="1"/>
      <c r="I181" s="1"/>
    </row>
    <row r="182" ht="15.75" customHeight="1">
      <c r="G182" s="1"/>
      <c r="I182" s="1"/>
    </row>
    <row r="183" ht="15.75" customHeight="1">
      <c r="G183" s="1"/>
      <c r="I183" s="1"/>
    </row>
    <row r="184" ht="15.75" customHeight="1">
      <c r="G184" s="1"/>
      <c r="I184" s="1"/>
    </row>
    <row r="185" ht="15.75" customHeight="1">
      <c r="G185" s="1"/>
      <c r="I185" s="1"/>
    </row>
    <row r="186" ht="15.75" customHeight="1">
      <c r="G186" s="1"/>
      <c r="I186" s="1"/>
    </row>
    <row r="187" ht="15.75" customHeight="1">
      <c r="G187" s="1"/>
      <c r="I187" s="1"/>
    </row>
    <row r="188" ht="15.75" customHeight="1">
      <c r="G188" s="1"/>
      <c r="I188" s="1"/>
    </row>
    <row r="189" ht="15.75" customHeight="1">
      <c r="G189" s="1"/>
      <c r="I189" s="1"/>
    </row>
    <row r="190" ht="15.75" customHeight="1">
      <c r="G190" s="1"/>
      <c r="I190" s="1"/>
    </row>
    <row r="191" ht="15.75" customHeight="1">
      <c r="G191" s="1"/>
      <c r="I191" s="1"/>
    </row>
    <row r="192" ht="15.75" customHeight="1">
      <c r="G192" s="1"/>
      <c r="I192" s="1"/>
    </row>
    <row r="193" ht="15.75" customHeight="1">
      <c r="G193" s="1"/>
      <c r="I193" s="1"/>
    </row>
    <row r="194" ht="15.75" customHeight="1">
      <c r="G194" s="1"/>
      <c r="I194" s="1"/>
    </row>
    <row r="195" ht="15.75" customHeight="1">
      <c r="G195" s="1"/>
      <c r="I195" s="1"/>
    </row>
    <row r="196" ht="15.75" customHeight="1">
      <c r="G196" s="1"/>
      <c r="I196" s="1"/>
    </row>
    <row r="197" ht="15.75" customHeight="1">
      <c r="G197" s="1"/>
      <c r="I197" s="1"/>
    </row>
    <row r="198" ht="15.75" customHeight="1">
      <c r="G198" s="1"/>
      <c r="I198" s="1"/>
    </row>
    <row r="199" ht="15.75" customHeight="1">
      <c r="G199" s="1"/>
      <c r="I199" s="1"/>
    </row>
    <row r="200" ht="15.75" customHeight="1">
      <c r="G200" s="1"/>
      <c r="I200" s="1"/>
    </row>
    <row r="201" ht="15.75" customHeight="1">
      <c r="G201" s="1"/>
      <c r="I201" s="1"/>
    </row>
    <row r="202" ht="15.75" customHeight="1">
      <c r="G202" s="1"/>
      <c r="I202" s="1"/>
    </row>
    <row r="203" ht="15.75" customHeight="1">
      <c r="G203" s="1"/>
      <c r="I203" s="1"/>
    </row>
    <row r="204" ht="15.75" customHeight="1">
      <c r="G204" s="1"/>
      <c r="I204" s="1"/>
    </row>
    <row r="205" ht="15.75" customHeight="1">
      <c r="G205" s="1"/>
      <c r="I205" s="1"/>
    </row>
    <row r="206" ht="15.75" customHeight="1">
      <c r="G206" s="1"/>
      <c r="I206" s="1"/>
    </row>
    <row r="207" ht="15.75" customHeight="1">
      <c r="G207" s="1"/>
      <c r="I207" s="1"/>
    </row>
    <row r="208" ht="15.75" customHeight="1">
      <c r="G208" s="1"/>
      <c r="I208" s="1"/>
    </row>
    <row r="209" ht="15.75" customHeight="1">
      <c r="G209" s="1"/>
      <c r="I209" s="1"/>
    </row>
    <row r="210" ht="15.75" customHeight="1">
      <c r="G210" s="1"/>
      <c r="I210" s="1"/>
    </row>
    <row r="211" ht="15.75" customHeight="1">
      <c r="G211" s="1"/>
      <c r="I211" s="1"/>
    </row>
    <row r="212" ht="15.75" customHeight="1">
      <c r="G212" s="1"/>
      <c r="I212" s="1"/>
    </row>
    <row r="213" ht="15.75" customHeight="1">
      <c r="G213" s="1"/>
      <c r="I213" s="1"/>
    </row>
    <row r="214" ht="15.75" customHeight="1">
      <c r="G214" s="1"/>
      <c r="I214" s="1"/>
    </row>
    <row r="215" ht="15.75" customHeight="1">
      <c r="G215" s="1"/>
      <c r="I215" s="1"/>
    </row>
    <row r="216" ht="15.75" customHeight="1">
      <c r="G216" s="1"/>
      <c r="I216" s="1"/>
    </row>
    <row r="217" ht="15.75" customHeight="1">
      <c r="G217" s="1"/>
      <c r="I217" s="1"/>
    </row>
    <row r="218" ht="15.75" customHeight="1">
      <c r="G218" s="1"/>
      <c r="I218" s="1"/>
    </row>
    <row r="219" ht="15.75" customHeight="1">
      <c r="G219" s="1"/>
      <c r="I219" s="1"/>
    </row>
    <row r="220" ht="15.75" customHeight="1">
      <c r="G220" s="1"/>
      <c r="I220" s="1"/>
    </row>
    <row r="221" ht="15.75" customHeight="1">
      <c r="G221" s="1"/>
      <c r="I221" s="1"/>
    </row>
    <row r="222" ht="15.75" customHeight="1">
      <c r="G222" s="1"/>
      <c r="I222" s="1"/>
    </row>
    <row r="223" ht="15.75" customHeight="1">
      <c r="G223" s="1"/>
      <c r="I223" s="1"/>
    </row>
    <row r="224" ht="15.75" customHeight="1">
      <c r="G224" s="1"/>
      <c r="I224" s="1"/>
    </row>
    <row r="225" ht="15.75" customHeight="1">
      <c r="G225" s="1"/>
      <c r="I225" s="1"/>
    </row>
    <row r="226" ht="15.75" customHeight="1">
      <c r="G226" s="1"/>
      <c r="I226" s="1"/>
    </row>
    <row r="227" ht="15.75" customHeight="1">
      <c r="G227" s="1"/>
      <c r="I227" s="1"/>
    </row>
    <row r="228" ht="15.75" customHeight="1">
      <c r="G228" s="1"/>
      <c r="I228" s="1"/>
    </row>
    <row r="229" ht="15.75" customHeight="1">
      <c r="G229" s="1"/>
      <c r="I229" s="1"/>
    </row>
    <row r="230" ht="15.75" customHeight="1">
      <c r="G230" s="1"/>
      <c r="I230" s="1"/>
    </row>
    <row r="231" ht="15.75" customHeight="1">
      <c r="G231" s="1"/>
      <c r="I231" s="1"/>
    </row>
    <row r="232" ht="15.75" customHeight="1">
      <c r="G232" s="1"/>
      <c r="I232" s="1"/>
    </row>
    <row r="233" ht="15.75" customHeight="1">
      <c r="G233" s="1"/>
      <c r="I233" s="1"/>
    </row>
    <row r="234" ht="15.75" customHeight="1">
      <c r="G234" s="1"/>
      <c r="I234" s="1"/>
    </row>
    <row r="235" ht="15.75" customHeight="1">
      <c r="G235" s="1"/>
      <c r="I235" s="1"/>
    </row>
    <row r="236" ht="15.75" customHeight="1">
      <c r="G236" s="1"/>
      <c r="I236" s="1"/>
    </row>
    <row r="237" ht="15.75" customHeight="1">
      <c r="G237" s="1"/>
      <c r="I237" s="1"/>
    </row>
    <row r="238" ht="15.75" customHeight="1">
      <c r="G238" s="1"/>
      <c r="I238" s="1"/>
    </row>
    <row r="239" ht="15.75" customHeight="1">
      <c r="G239" s="1"/>
      <c r="I239" s="1"/>
    </row>
    <row r="240" ht="15.75" customHeight="1">
      <c r="G240" s="1"/>
      <c r="I240" s="1"/>
    </row>
    <row r="241" ht="15.75" customHeight="1">
      <c r="G241" s="1"/>
      <c r="I241" s="1"/>
    </row>
    <row r="242" ht="15.75" customHeight="1">
      <c r="G242" s="1"/>
      <c r="I242" s="1"/>
    </row>
    <row r="243" ht="15.75" customHeight="1">
      <c r="G243" s="1"/>
      <c r="I243" s="1"/>
    </row>
    <row r="244" ht="15.75" customHeight="1">
      <c r="G244" s="1"/>
      <c r="I244" s="1"/>
    </row>
    <row r="245" ht="15.75" customHeight="1">
      <c r="G245" s="1"/>
      <c r="I245" s="1"/>
    </row>
    <row r="246" ht="15.75" customHeight="1">
      <c r="G246" s="1"/>
      <c r="I246" s="1"/>
    </row>
    <row r="247" ht="15.75" customHeight="1">
      <c r="G247" s="1"/>
      <c r="I247" s="1"/>
    </row>
    <row r="248" ht="15.75" customHeight="1">
      <c r="G248" s="1"/>
      <c r="I248" s="1"/>
    </row>
    <row r="249" ht="15.75" customHeight="1">
      <c r="G249" s="1"/>
      <c r="I249" s="1"/>
    </row>
    <row r="250" ht="15.75" customHeight="1">
      <c r="G250" s="1"/>
      <c r="I250" s="1"/>
    </row>
    <row r="251" ht="15.75" customHeight="1">
      <c r="G251" s="1"/>
      <c r="I251" s="1"/>
    </row>
    <row r="252" ht="15.75" customHeight="1">
      <c r="G252" s="1"/>
      <c r="I252" s="1"/>
    </row>
    <row r="253" ht="15.75" customHeight="1">
      <c r="G253" s="1"/>
      <c r="I253" s="1"/>
    </row>
    <row r="254" ht="15.75" customHeight="1">
      <c r="G254" s="1"/>
      <c r="I254" s="1"/>
    </row>
    <row r="255" ht="15.75" customHeight="1">
      <c r="G255" s="1"/>
      <c r="I255" s="1"/>
    </row>
    <row r="256" ht="15.75" customHeight="1">
      <c r="G256" s="1"/>
      <c r="I256" s="1"/>
    </row>
    <row r="257" ht="15.75" customHeight="1">
      <c r="G257" s="1"/>
      <c r="I257" s="1"/>
    </row>
    <row r="258" ht="15.75" customHeight="1">
      <c r="G258" s="1"/>
      <c r="I258" s="1"/>
    </row>
    <row r="259" ht="15.75" customHeight="1">
      <c r="G259" s="1"/>
      <c r="I259" s="1"/>
    </row>
    <row r="260" ht="15.75" customHeight="1">
      <c r="G260" s="1"/>
      <c r="I260" s="1"/>
    </row>
    <row r="261" ht="15.75" customHeight="1">
      <c r="G261" s="1"/>
      <c r="I261" s="1"/>
    </row>
    <row r="262" ht="15.75" customHeight="1">
      <c r="G262" s="1"/>
      <c r="I262" s="1"/>
    </row>
    <row r="263" ht="15.75" customHeight="1">
      <c r="G263" s="1"/>
      <c r="I263" s="1"/>
    </row>
    <row r="264" ht="15.75" customHeight="1">
      <c r="G264" s="1"/>
      <c r="I264" s="1"/>
    </row>
    <row r="265" ht="15.75" customHeight="1">
      <c r="G265" s="1"/>
      <c r="I265" s="1"/>
    </row>
    <row r="266" ht="15.75" customHeight="1">
      <c r="G266" s="1"/>
      <c r="I266" s="1"/>
    </row>
    <row r="267" ht="15.75" customHeight="1">
      <c r="G267" s="1"/>
      <c r="I267" s="1"/>
    </row>
    <row r="268" ht="15.75" customHeight="1">
      <c r="G268" s="1"/>
      <c r="I268" s="1"/>
    </row>
    <row r="269" ht="15.75" customHeight="1">
      <c r="G269" s="1"/>
      <c r="I269" s="1"/>
    </row>
    <row r="270" ht="15.75" customHeight="1">
      <c r="G270" s="1"/>
      <c r="I270" s="1"/>
    </row>
    <row r="271" ht="15.75" customHeight="1">
      <c r="G271" s="1"/>
      <c r="I271" s="1"/>
    </row>
    <row r="272" ht="15.75" customHeight="1">
      <c r="G272" s="1"/>
      <c r="I272" s="1"/>
    </row>
    <row r="273" ht="15.75" customHeight="1">
      <c r="G273" s="1"/>
      <c r="I273" s="1"/>
    </row>
    <row r="274" ht="15.75" customHeight="1">
      <c r="G274" s="1"/>
      <c r="I274" s="1"/>
    </row>
    <row r="275" ht="15.75" customHeight="1">
      <c r="G275" s="1"/>
      <c r="I275" s="1"/>
    </row>
    <row r="276" ht="15.75" customHeight="1">
      <c r="G276" s="1"/>
      <c r="I276" s="1"/>
    </row>
    <row r="277" ht="15.75" customHeight="1">
      <c r="G277" s="1"/>
      <c r="I277" s="1"/>
    </row>
    <row r="278" ht="15.75" customHeight="1">
      <c r="G278" s="1"/>
      <c r="I278" s="1"/>
    </row>
    <row r="279" ht="15.75" customHeight="1">
      <c r="G279" s="1"/>
      <c r="I279" s="1"/>
    </row>
    <row r="280" ht="15.75" customHeight="1">
      <c r="G280" s="1"/>
      <c r="I280" s="1"/>
    </row>
    <row r="281" ht="15.75" customHeight="1">
      <c r="G281" s="1"/>
      <c r="I281" s="1"/>
    </row>
    <row r="282" ht="15.75" customHeight="1">
      <c r="G282" s="1"/>
      <c r="I282" s="1"/>
    </row>
    <row r="283" ht="15.75" customHeight="1">
      <c r="G283" s="1"/>
      <c r="I283" s="1"/>
    </row>
    <row r="284" ht="15.75" customHeight="1">
      <c r="G284" s="1"/>
      <c r="I284" s="1"/>
    </row>
    <row r="285" ht="15.75" customHeight="1">
      <c r="G285" s="1"/>
      <c r="I285" s="1"/>
    </row>
    <row r="286" ht="15.75" customHeight="1">
      <c r="G286" s="1"/>
      <c r="I286" s="1"/>
    </row>
    <row r="287" ht="15.75" customHeight="1">
      <c r="G287" s="1"/>
      <c r="I287" s="1"/>
    </row>
    <row r="288" ht="15.75" customHeight="1">
      <c r="G288" s="1"/>
      <c r="I288" s="1"/>
    </row>
    <row r="289" ht="15.75" customHeight="1">
      <c r="G289" s="1"/>
      <c r="I289" s="1"/>
    </row>
    <row r="290" ht="15.75" customHeight="1">
      <c r="G290" s="1"/>
      <c r="I290" s="1"/>
    </row>
    <row r="291" ht="15.75" customHeight="1">
      <c r="G291" s="1"/>
      <c r="I291" s="1"/>
    </row>
    <row r="292" ht="15.75" customHeight="1">
      <c r="G292" s="1"/>
      <c r="I292" s="1"/>
    </row>
    <row r="293" ht="15.75" customHeight="1">
      <c r="G293" s="1"/>
      <c r="I293" s="1"/>
    </row>
    <row r="294" ht="15.75" customHeight="1">
      <c r="G294" s="1"/>
      <c r="I294" s="1"/>
    </row>
    <row r="295" ht="15.75" customHeight="1">
      <c r="G295" s="1"/>
      <c r="I295" s="1"/>
    </row>
    <row r="296" ht="15.75" customHeight="1">
      <c r="G296" s="1"/>
      <c r="I296" s="1"/>
    </row>
    <row r="297" ht="15.75" customHeight="1">
      <c r="G297" s="1"/>
      <c r="I297" s="1"/>
    </row>
    <row r="298" ht="15.75" customHeight="1">
      <c r="G298" s="1"/>
      <c r="I298" s="1"/>
    </row>
    <row r="299" ht="15.75" customHeight="1">
      <c r="G299" s="1"/>
      <c r="I299" s="1"/>
    </row>
    <row r="300" ht="15.75" customHeight="1">
      <c r="G300" s="1"/>
      <c r="I300" s="1"/>
    </row>
    <row r="301" ht="15.75" customHeight="1">
      <c r="G301" s="1"/>
      <c r="I301" s="1"/>
    </row>
    <row r="302" ht="15.75" customHeight="1">
      <c r="G302" s="1"/>
      <c r="I302" s="1"/>
    </row>
    <row r="303" ht="15.75" customHeight="1">
      <c r="G303" s="1"/>
      <c r="I303" s="1"/>
    </row>
    <row r="304" ht="15.75" customHeight="1">
      <c r="G304" s="1"/>
      <c r="I304" s="1"/>
    </row>
    <row r="305" ht="15.75" customHeight="1">
      <c r="G305" s="1"/>
      <c r="I305" s="1"/>
    </row>
    <row r="306" ht="15.75" customHeight="1">
      <c r="G306" s="1"/>
      <c r="I306" s="1"/>
    </row>
    <row r="307" ht="15.75" customHeight="1">
      <c r="G307" s="1"/>
      <c r="I307" s="1"/>
    </row>
    <row r="308" ht="15.75" customHeight="1">
      <c r="G308" s="1"/>
      <c r="I308" s="1"/>
    </row>
    <row r="309" ht="15.75" customHeight="1">
      <c r="G309" s="1"/>
      <c r="I309" s="1"/>
    </row>
    <row r="310" ht="15.75" customHeight="1">
      <c r="G310" s="1"/>
      <c r="I310" s="1"/>
    </row>
    <row r="311" ht="15.75" customHeight="1">
      <c r="G311" s="1"/>
      <c r="I311" s="1"/>
    </row>
    <row r="312" ht="15.75" customHeight="1">
      <c r="G312" s="1"/>
      <c r="I312" s="1"/>
    </row>
    <row r="313" ht="15.75" customHeight="1">
      <c r="G313" s="1"/>
      <c r="I313" s="1"/>
    </row>
    <row r="314" ht="15.75" customHeight="1">
      <c r="G314" s="1"/>
      <c r="I314" s="1"/>
    </row>
    <row r="315" ht="15.75" customHeight="1">
      <c r="G315" s="1"/>
      <c r="I315" s="1"/>
    </row>
    <row r="316" ht="15.75" customHeight="1">
      <c r="G316" s="1"/>
      <c r="I316" s="1"/>
    </row>
    <row r="317" ht="15.75" customHeight="1">
      <c r="G317" s="1"/>
      <c r="I317" s="1"/>
    </row>
    <row r="318" ht="15.75" customHeight="1">
      <c r="G318" s="1"/>
      <c r="I318" s="1"/>
    </row>
    <row r="319" ht="15.75" customHeight="1">
      <c r="G319" s="1"/>
      <c r="I319" s="1"/>
    </row>
    <row r="320" ht="15.75" customHeight="1">
      <c r="G320" s="1"/>
      <c r="I320" s="1"/>
    </row>
    <row r="321" ht="15.75" customHeight="1">
      <c r="G321" s="1"/>
      <c r="I321" s="1"/>
    </row>
    <row r="322" ht="15.75" customHeight="1">
      <c r="G322" s="1"/>
      <c r="I322" s="1"/>
    </row>
    <row r="323" ht="15.75" customHeight="1">
      <c r="G323" s="1"/>
      <c r="I323" s="1"/>
    </row>
    <row r="324" ht="15.75" customHeight="1">
      <c r="G324" s="1"/>
      <c r="I324" s="1"/>
    </row>
    <row r="325" ht="15.75" customHeight="1">
      <c r="G325" s="1"/>
      <c r="I325" s="1"/>
    </row>
    <row r="326" ht="15.75" customHeight="1">
      <c r="G326" s="1"/>
      <c r="I326" s="1"/>
    </row>
    <row r="327" ht="15.75" customHeight="1">
      <c r="G327" s="1"/>
      <c r="I327" s="1"/>
    </row>
    <row r="328" ht="15.75" customHeight="1">
      <c r="G328" s="1"/>
      <c r="I328" s="1"/>
    </row>
    <row r="329" ht="15.75" customHeight="1">
      <c r="G329" s="1"/>
      <c r="I329" s="1"/>
    </row>
    <row r="330" ht="15.75" customHeight="1">
      <c r="G330" s="1"/>
      <c r="I330" s="1"/>
    </row>
    <row r="331" ht="15.75" customHeight="1">
      <c r="G331" s="1"/>
      <c r="I331" s="1"/>
    </row>
    <row r="332" ht="15.75" customHeight="1">
      <c r="G332" s="1"/>
      <c r="I332" s="1"/>
    </row>
    <row r="333" ht="15.75" customHeight="1">
      <c r="G333" s="1"/>
      <c r="I333" s="1"/>
    </row>
    <row r="334" ht="15.75" customHeight="1">
      <c r="G334" s="1"/>
      <c r="I334" s="1"/>
    </row>
    <row r="335" ht="15.75" customHeight="1">
      <c r="G335" s="1"/>
      <c r="I335" s="1"/>
    </row>
    <row r="336" ht="15.75" customHeight="1">
      <c r="G336" s="1"/>
      <c r="I336" s="1"/>
    </row>
    <row r="337" ht="15.75" customHeight="1">
      <c r="G337" s="1"/>
      <c r="I337" s="1"/>
    </row>
    <row r="338" ht="15.75" customHeight="1">
      <c r="G338" s="1"/>
      <c r="I338" s="1"/>
    </row>
    <row r="339" ht="15.75" customHeight="1">
      <c r="G339" s="1"/>
      <c r="I339" s="1"/>
    </row>
    <row r="340" ht="15.75" customHeight="1">
      <c r="G340" s="1"/>
      <c r="I340" s="1"/>
    </row>
    <row r="341" ht="15.75" customHeight="1">
      <c r="G341" s="1"/>
      <c r="I341" s="1"/>
    </row>
    <row r="342" ht="15.75" customHeight="1">
      <c r="G342" s="1"/>
      <c r="I342" s="1"/>
    </row>
    <row r="343" ht="15.75" customHeight="1">
      <c r="G343" s="1"/>
      <c r="I343" s="1"/>
    </row>
    <row r="344" ht="15.75" customHeight="1">
      <c r="G344" s="1"/>
      <c r="I344" s="1"/>
    </row>
    <row r="345" ht="15.75" customHeight="1">
      <c r="G345" s="1"/>
      <c r="I345" s="1"/>
    </row>
    <row r="346" ht="15.75" customHeight="1">
      <c r="G346" s="1"/>
      <c r="I346" s="1"/>
    </row>
    <row r="347" ht="15.75" customHeight="1">
      <c r="G347" s="1"/>
      <c r="I347" s="1"/>
    </row>
    <row r="348" ht="15.75" customHeight="1">
      <c r="G348" s="1"/>
      <c r="I348" s="1"/>
    </row>
    <row r="349" ht="15.75" customHeight="1">
      <c r="G349" s="1"/>
      <c r="I349" s="1"/>
    </row>
    <row r="350" ht="15.75" customHeight="1">
      <c r="G350" s="1"/>
      <c r="I350" s="1"/>
    </row>
    <row r="351" ht="15.75" customHeight="1">
      <c r="G351" s="1"/>
      <c r="I351" s="1"/>
    </row>
    <row r="352" ht="15.75" customHeight="1">
      <c r="G352" s="1"/>
      <c r="I352" s="1"/>
    </row>
    <row r="353" ht="15.75" customHeight="1">
      <c r="G353" s="1"/>
      <c r="I353" s="1"/>
    </row>
    <row r="354" ht="15.75" customHeight="1">
      <c r="G354" s="1"/>
      <c r="I354" s="1"/>
    </row>
    <row r="355" ht="15.75" customHeight="1">
      <c r="G355" s="1"/>
      <c r="I355" s="1"/>
    </row>
    <row r="356" ht="15.75" customHeight="1">
      <c r="G356" s="1"/>
      <c r="I356" s="1"/>
    </row>
    <row r="357" ht="15.75" customHeight="1">
      <c r="G357" s="1"/>
      <c r="I357" s="1"/>
    </row>
    <row r="358" ht="15.75" customHeight="1">
      <c r="G358" s="1"/>
      <c r="I358" s="1"/>
    </row>
    <row r="359" ht="15.75" customHeight="1">
      <c r="G359" s="1"/>
      <c r="I359" s="1"/>
    </row>
    <row r="360" ht="15.75" customHeight="1">
      <c r="G360" s="1"/>
      <c r="I360" s="1"/>
    </row>
    <row r="361" ht="15.75" customHeight="1">
      <c r="G361" s="1"/>
      <c r="I361" s="1"/>
    </row>
    <row r="362" ht="15.75" customHeight="1">
      <c r="G362" s="1"/>
      <c r="I362" s="1"/>
    </row>
    <row r="363" ht="15.75" customHeight="1">
      <c r="G363" s="1"/>
      <c r="I363" s="1"/>
    </row>
    <row r="364" ht="15.75" customHeight="1">
      <c r="G364" s="1"/>
      <c r="I364" s="1"/>
    </row>
    <row r="365" ht="15.75" customHeight="1">
      <c r="G365" s="1"/>
      <c r="I365" s="1"/>
    </row>
    <row r="366" ht="15.75" customHeight="1">
      <c r="G366" s="1"/>
      <c r="I366" s="1"/>
    </row>
    <row r="367" ht="15.75" customHeight="1">
      <c r="G367" s="1"/>
      <c r="I367" s="1"/>
    </row>
    <row r="368" ht="15.75" customHeight="1">
      <c r="G368" s="1"/>
      <c r="I368" s="1"/>
    </row>
    <row r="369" ht="15.75" customHeight="1">
      <c r="G369" s="1"/>
      <c r="I369" s="1"/>
    </row>
    <row r="370" ht="15.75" customHeight="1">
      <c r="G370" s="1"/>
      <c r="I370" s="1"/>
    </row>
    <row r="371" ht="15.75" customHeight="1">
      <c r="G371" s="1"/>
      <c r="I371" s="1"/>
    </row>
    <row r="372" ht="15.75" customHeight="1">
      <c r="G372" s="1"/>
      <c r="I372" s="1"/>
    </row>
    <row r="373" ht="15.75" customHeight="1">
      <c r="G373" s="1"/>
      <c r="I373" s="1"/>
    </row>
    <row r="374" ht="15.75" customHeight="1">
      <c r="G374" s="1"/>
      <c r="I374" s="1"/>
    </row>
    <row r="375" ht="15.75" customHeight="1">
      <c r="G375" s="1"/>
      <c r="I375" s="1"/>
    </row>
    <row r="376" ht="15.75" customHeight="1">
      <c r="G376" s="1"/>
      <c r="I376" s="1"/>
    </row>
    <row r="377" ht="15.75" customHeight="1">
      <c r="G377" s="1"/>
      <c r="I377" s="1"/>
    </row>
    <row r="378" ht="15.75" customHeight="1">
      <c r="G378" s="1"/>
      <c r="I378" s="1"/>
    </row>
    <row r="379" ht="15.75" customHeight="1">
      <c r="G379" s="1"/>
      <c r="I379" s="1"/>
    </row>
    <row r="380" ht="15.75" customHeight="1">
      <c r="G380" s="1"/>
      <c r="I380" s="1"/>
    </row>
    <row r="381" ht="15.75" customHeight="1">
      <c r="G381" s="1"/>
      <c r="I381" s="1"/>
    </row>
    <row r="382" ht="15.75" customHeight="1">
      <c r="G382" s="1"/>
      <c r="I382" s="1"/>
    </row>
    <row r="383" ht="15.75" customHeight="1">
      <c r="G383" s="1"/>
      <c r="I383" s="1"/>
    </row>
    <row r="384" ht="15.75" customHeight="1">
      <c r="G384" s="1"/>
      <c r="I384" s="1"/>
    </row>
    <row r="385" ht="15.75" customHeight="1">
      <c r="G385" s="1"/>
      <c r="I385" s="1"/>
    </row>
    <row r="386" ht="15.75" customHeight="1">
      <c r="G386" s="1"/>
      <c r="I386" s="1"/>
    </row>
    <row r="387" ht="15.75" customHeight="1">
      <c r="G387" s="1"/>
      <c r="I387" s="1"/>
    </row>
    <row r="388" ht="15.75" customHeight="1">
      <c r="G388" s="1"/>
      <c r="I388" s="1"/>
    </row>
    <row r="389" ht="15.75" customHeight="1">
      <c r="G389" s="1"/>
      <c r="I389" s="1"/>
    </row>
    <row r="390" ht="15.75" customHeight="1">
      <c r="G390" s="1"/>
      <c r="I390" s="1"/>
    </row>
    <row r="391" ht="15.75" customHeight="1">
      <c r="G391" s="1"/>
      <c r="I391" s="1"/>
    </row>
    <row r="392" ht="15.75" customHeight="1">
      <c r="G392" s="1"/>
      <c r="I392" s="1"/>
    </row>
    <row r="393" ht="15.75" customHeight="1">
      <c r="G393" s="1"/>
      <c r="I393" s="1"/>
    </row>
    <row r="394" ht="15.75" customHeight="1">
      <c r="G394" s="1"/>
      <c r="I394" s="1"/>
    </row>
    <row r="395" ht="15.75" customHeight="1">
      <c r="G395" s="1"/>
      <c r="I395" s="1"/>
    </row>
    <row r="396" ht="15.75" customHeight="1">
      <c r="G396" s="1"/>
      <c r="I396" s="1"/>
    </row>
    <row r="397" ht="15.75" customHeight="1">
      <c r="G397" s="1"/>
      <c r="I397" s="1"/>
    </row>
    <row r="398" ht="15.75" customHeight="1">
      <c r="G398" s="1"/>
      <c r="I398" s="1"/>
    </row>
    <row r="399" ht="15.75" customHeight="1">
      <c r="G399" s="1"/>
      <c r="I399" s="1"/>
    </row>
    <row r="400" ht="15.75" customHeight="1">
      <c r="G400" s="1"/>
      <c r="I400" s="1"/>
    </row>
    <row r="401" ht="15.75" customHeight="1">
      <c r="G401" s="1"/>
      <c r="I401" s="1"/>
    </row>
    <row r="402" ht="15.75" customHeight="1">
      <c r="G402" s="1"/>
      <c r="I402" s="1"/>
    </row>
    <row r="403" ht="15.75" customHeight="1">
      <c r="G403" s="1"/>
      <c r="I403" s="1"/>
    </row>
    <row r="404" ht="15.75" customHeight="1">
      <c r="G404" s="1"/>
      <c r="I404" s="1"/>
    </row>
    <row r="405" ht="15.75" customHeight="1">
      <c r="G405" s="1"/>
      <c r="I405" s="1"/>
    </row>
    <row r="406" ht="15.75" customHeight="1">
      <c r="G406" s="1"/>
      <c r="I406" s="1"/>
    </row>
    <row r="407" ht="15.75" customHeight="1">
      <c r="G407" s="1"/>
      <c r="I407" s="1"/>
    </row>
    <row r="408" ht="15.75" customHeight="1">
      <c r="G408" s="1"/>
      <c r="I408" s="1"/>
    </row>
    <row r="409" ht="15.75" customHeight="1">
      <c r="G409" s="1"/>
      <c r="I409" s="1"/>
    </row>
    <row r="410" ht="15.75" customHeight="1">
      <c r="G410" s="1"/>
      <c r="I410" s="1"/>
    </row>
    <row r="411" ht="15.75" customHeight="1">
      <c r="G411" s="1"/>
      <c r="I411" s="1"/>
    </row>
    <row r="412" ht="15.75" customHeight="1">
      <c r="G412" s="1"/>
      <c r="I412" s="1"/>
    </row>
    <row r="413" ht="15.75" customHeight="1">
      <c r="G413" s="1"/>
      <c r="I413" s="1"/>
    </row>
    <row r="414" ht="15.75" customHeight="1">
      <c r="G414" s="1"/>
      <c r="I414" s="1"/>
    </row>
    <row r="415" ht="15.75" customHeight="1">
      <c r="G415" s="1"/>
      <c r="I415" s="1"/>
    </row>
    <row r="416" ht="15.75" customHeight="1">
      <c r="G416" s="1"/>
      <c r="I416" s="1"/>
    </row>
    <row r="417" ht="15.75" customHeight="1">
      <c r="G417" s="1"/>
      <c r="I417" s="1"/>
    </row>
    <row r="418" ht="15.75" customHeight="1">
      <c r="G418" s="1"/>
      <c r="I418" s="1"/>
    </row>
    <row r="419" ht="15.75" customHeight="1">
      <c r="G419" s="1"/>
      <c r="I419" s="1"/>
    </row>
    <row r="420" ht="15.75" customHeight="1">
      <c r="G420" s="1"/>
      <c r="I420" s="1"/>
    </row>
    <row r="421" ht="15.75" customHeight="1">
      <c r="G421" s="1"/>
      <c r="I421" s="1"/>
    </row>
    <row r="422" ht="15.75" customHeight="1">
      <c r="G422" s="1"/>
      <c r="I422" s="1"/>
    </row>
    <row r="423" ht="15.75" customHeight="1">
      <c r="G423" s="1"/>
      <c r="I423" s="1"/>
    </row>
    <row r="424" ht="15.75" customHeight="1">
      <c r="G424" s="1"/>
      <c r="I424" s="1"/>
    </row>
    <row r="425" ht="15.75" customHeight="1">
      <c r="G425" s="1"/>
      <c r="I425" s="1"/>
    </row>
    <row r="426" ht="15.75" customHeight="1">
      <c r="G426" s="1"/>
      <c r="I426" s="1"/>
    </row>
    <row r="427" ht="15.75" customHeight="1">
      <c r="G427" s="1"/>
      <c r="I427" s="1"/>
    </row>
    <row r="428" ht="15.75" customHeight="1">
      <c r="G428" s="1"/>
      <c r="I428" s="1"/>
    </row>
    <row r="429" ht="15.75" customHeight="1">
      <c r="G429" s="1"/>
      <c r="I429" s="1"/>
    </row>
    <row r="430" ht="15.75" customHeight="1">
      <c r="G430" s="1"/>
      <c r="I430" s="1"/>
    </row>
    <row r="431" ht="15.75" customHeight="1">
      <c r="G431" s="1"/>
      <c r="I431" s="1"/>
    </row>
    <row r="432" ht="15.75" customHeight="1">
      <c r="G432" s="1"/>
      <c r="I432" s="1"/>
    </row>
    <row r="433" ht="15.75" customHeight="1">
      <c r="G433" s="1"/>
      <c r="I433" s="1"/>
    </row>
    <row r="434" ht="15.75" customHeight="1">
      <c r="G434" s="1"/>
      <c r="I434" s="1"/>
    </row>
    <row r="435" ht="15.75" customHeight="1">
      <c r="G435" s="1"/>
      <c r="I435" s="1"/>
    </row>
    <row r="436" ht="15.75" customHeight="1">
      <c r="G436" s="1"/>
      <c r="I436" s="1"/>
    </row>
    <row r="437" ht="15.75" customHeight="1">
      <c r="G437" s="1"/>
      <c r="I437" s="1"/>
    </row>
    <row r="438" ht="15.75" customHeight="1">
      <c r="G438" s="1"/>
      <c r="I438" s="1"/>
    </row>
    <row r="439" ht="15.75" customHeight="1">
      <c r="G439" s="1"/>
      <c r="I439" s="1"/>
    </row>
    <row r="440" ht="15.75" customHeight="1">
      <c r="G440" s="1"/>
      <c r="I440" s="1"/>
    </row>
    <row r="441" ht="15.75" customHeight="1">
      <c r="G441" s="1"/>
      <c r="I441" s="1"/>
    </row>
    <row r="442" ht="15.75" customHeight="1">
      <c r="G442" s="1"/>
      <c r="I442" s="1"/>
    </row>
    <row r="443" ht="15.75" customHeight="1">
      <c r="G443" s="1"/>
      <c r="I443" s="1"/>
    </row>
    <row r="444" ht="15.75" customHeight="1">
      <c r="G444" s="1"/>
      <c r="I444" s="1"/>
    </row>
    <row r="445" ht="15.75" customHeight="1">
      <c r="G445" s="1"/>
      <c r="I445" s="1"/>
    </row>
    <row r="446" ht="15.75" customHeight="1">
      <c r="G446" s="1"/>
      <c r="I446" s="1"/>
    </row>
    <row r="447" ht="15.75" customHeight="1">
      <c r="G447" s="1"/>
      <c r="I447" s="1"/>
    </row>
    <row r="448" ht="15.75" customHeight="1">
      <c r="G448" s="1"/>
      <c r="I448" s="1"/>
    </row>
    <row r="449" ht="15.75" customHeight="1">
      <c r="G449" s="1"/>
      <c r="I449" s="1"/>
    </row>
    <row r="450" ht="15.75" customHeight="1">
      <c r="G450" s="1"/>
      <c r="I450" s="1"/>
    </row>
    <row r="451" ht="15.75" customHeight="1">
      <c r="G451" s="1"/>
      <c r="I451" s="1"/>
    </row>
    <row r="452" ht="15.75" customHeight="1">
      <c r="G452" s="1"/>
      <c r="I452" s="1"/>
    </row>
    <row r="453" ht="15.75" customHeight="1">
      <c r="G453" s="1"/>
      <c r="I453" s="1"/>
    </row>
    <row r="454" ht="15.75" customHeight="1">
      <c r="G454" s="1"/>
      <c r="I454" s="1"/>
    </row>
    <row r="455" ht="15.75" customHeight="1">
      <c r="G455" s="1"/>
      <c r="I455" s="1"/>
    </row>
    <row r="456" ht="15.75" customHeight="1">
      <c r="G456" s="1"/>
      <c r="I456" s="1"/>
    </row>
    <row r="457" ht="15.75" customHeight="1">
      <c r="G457" s="1"/>
      <c r="I457" s="1"/>
    </row>
    <row r="458" ht="15.75" customHeight="1">
      <c r="G458" s="1"/>
      <c r="I458" s="1"/>
    </row>
    <row r="459" ht="15.75" customHeight="1">
      <c r="G459" s="1"/>
      <c r="I459" s="1"/>
    </row>
    <row r="460" ht="15.75" customHeight="1">
      <c r="G460" s="1"/>
      <c r="I460" s="1"/>
    </row>
    <row r="461" ht="15.75" customHeight="1">
      <c r="G461" s="1"/>
      <c r="I461" s="1"/>
    </row>
    <row r="462" ht="15.75" customHeight="1">
      <c r="G462" s="1"/>
      <c r="I462" s="1"/>
    </row>
    <row r="463" ht="15.75" customHeight="1">
      <c r="G463" s="1"/>
      <c r="I463" s="1"/>
    </row>
    <row r="464" ht="15.75" customHeight="1">
      <c r="G464" s="1"/>
      <c r="I464" s="1"/>
    </row>
    <row r="465" ht="15.75" customHeight="1">
      <c r="G465" s="1"/>
      <c r="I465" s="1"/>
    </row>
    <row r="466" ht="15.75" customHeight="1">
      <c r="G466" s="1"/>
      <c r="I466" s="1"/>
    </row>
    <row r="467" ht="15.75" customHeight="1">
      <c r="G467" s="1"/>
      <c r="I467" s="1"/>
    </row>
    <row r="468" ht="15.75" customHeight="1">
      <c r="G468" s="1"/>
      <c r="I468" s="1"/>
    </row>
    <row r="469" ht="15.75" customHeight="1">
      <c r="G469" s="1"/>
      <c r="I469" s="1"/>
    </row>
    <row r="470" ht="15.75" customHeight="1">
      <c r="G470" s="1"/>
      <c r="I470" s="1"/>
    </row>
    <row r="471" ht="15.75" customHeight="1">
      <c r="G471" s="1"/>
      <c r="I471" s="1"/>
    </row>
    <row r="472" ht="15.75" customHeight="1">
      <c r="G472" s="1"/>
      <c r="I472" s="1"/>
    </row>
    <row r="473" ht="15.75" customHeight="1">
      <c r="G473" s="1"/>
      <c r="I473" s="1"/>
    </row>
    <row r="474" ht="15.75" customHeight="1">
      <c r="G474" s="1"/>
      <c r="I474" s="1"/>
    </row>
    <row r="475" ht="15.75" customHeight="1">
      <c r="G475" s="1"/>
      <c r="I475" s="1"/>
    </row>
    <row r="476" ht="15.75" customHeight="1">
      <c r="G476" s="1"/>
      <c r="I476" s="1"/>
    </row>
    <row r="477" ht="15.75" customHeight="1">
      <c r="G477" s="1"/>
      <c r="I477" s="1"/>
    </row>
    <row r="478" ht="15.75" customHeight="1">
      <c r="G478" s="1"/>
      <c r="I478" s="1"/>
    </row>
    <row r="479" ht="15.75" customHeight="1">
      <c r="G479" s="1"/>
      <c r="I479" s="1"/>
    </row>
    <row r="480" ht="15.75" customHeight="1">
      <c r="G480" s="1"/>
      <c r="I480" s="1"/>
    </row>
    <row r="481" ht="15.75" customHeight="1">
      <c r="G481" s="1"/>
      <c r="I481" s="1"/>
    </row>
    <row r="482" ht="15.75" customHeight="1">
      <c r="G482" s="1"/>
      <c r="I482" s="1"/>
    </row>
    <row r="483" ht="15.75" customHeight="1">
      <c r="G483" s="1"/>
      <c r="I483" s="1"/>
    </row>
    <row r="484" ht="15.75" customHeight="1">
      <c r="G484" s="1"/>
      <c r="I484" s="1"/>
    </row>
    <row r="485" ht="15.75" customHeight="1">
      <c r="G485" s="1"/>
      <c r="I485" s="1"/>
    </row>
    <row r="486" ht="15.75" customHeight="1">
      <c r="G486" s="1"/>
      <c r="I486" s="1"/>
    </row>
    <row r="487" ht="15.75" customHeight="1">
      <c r="G487" s="1"/>
      <c r="I487" s="1"/>
    </row>
    <row r="488" ht="15.75" customHeight="1">
      <c r="G488" s="1"/>
      <c r="I488" s="1"/>
    </row>
    <row r="489" ht="15.75" customHeight="1">
      <c r="G489" s="1"/>
      <c r="I489" s="1"/>
    </row>
    <row r="490" ht="15.75" customHeight="1">
      <c r="G490" s="1"/>
      <c r="I490" s="1"/>
    </row>
    <row r="491" ht="15.75" customHeight="1">
      <c r="G491" s="1"/>
      <c r="I491" s="1"/>
    </row>
    <row r="492" ht="15.75" customHeight="1">
      <c r="G492" s="1"/>
      <c r="I492" s="1"/>
    </row>
    <row r="493" ht="15.75" customHeight="1">
      <c r="G493" s="1"/>
      <c r="I493" s="1"/>
    </row>
    <row r="494" ht="15.75" customHeight="1">
      <c r="G494" s="1"/>
      <c r="I494" s="1"/>
    </row>
    <row r="495" ht="15.75" customHeight="1">
      <c r="G495" s="1"/>
      <c r="I495" s="1"/>
    </row>
    <row r="496" ht="15.75" customHeight="1">
      <c r="G496" s="1"/>
      <c r="I496" s="1"/>
    </row>
    <row r="497" ht="15.75" customHeight="1">
      <c r="G497" s="1"/>
      <c r="I497" s="1"/>
    </row>
    <row r="498" ht="15.75" customHeight="1">
      <c r="G498" s="1"/>
      <c r="I498" s="1"/>
    </row>
    <row r="499" ht="15.75" customHeight="1">
      <c r="G499" s="1"/>
      <c r="I499" s="1"/>
    </row>
    <row r="500" ht="15.75" customHeight="1">
      <c r="G500" s="1"/>
      <c r="I500" s="1"/>
    </row>
    <row r="501" ht="15.75" customHeight="1">
      <c r="G501" s="1"/>
      <c r="I501" s="1"/>
    </row>
    <row r="502" ht="15.75" customHeight="1">
      <c r="G502" s="1"/>
      <c r="I502" s="1"/>
    </row>
    <row r="503" ht="15.75" customHeight="1">
      <c r="G503" s="1"/>
      <c r="I503" s="1"/>
    </row>
    <row r="504" ht="15.75" customHeight="1">
      <c r="G504" s="1"/>
      <c r="I504" s="1"/>
    </row>
    <row r="505" ht="15.75" customHeight="1">
      <c r="G505" s="1"/>
      <c r="I505" s="1"/>
    </row>
    <row r="506" ht="15.75" customHeight="1">
      <c r="G506" s="1"/>
      <c r="I506" s="1"/>
    </row>
    <row r="507" ht="15.75" customHeight="1">
      <c r="G507" s="1"/>
      <c r="I507" s="1"/>
    </row>
    <row r="508" ht="15.75" customHeight="1">
      <c r="G508" s="1"/>
      <c r="I508" s="1"/>
    </row>
    <row r="509" ht="15.75" customHeight="1">
      <c r="G509" s="1"/>
      <c r="I509" s="1"/>
    </row>
    <row r="510" ht="15.75" customHeight="1">
      <c r="G510" s="1"/>
      <c r="I510" s="1"/>
    </row>
    <row r="511" ht="15.75" customHeight="1">
      <c r="G511" s="1"/>
      <c r="I511" s="1"/>
    </row>
    <row r="512" ht="15.75" customHeight="1">
      <c r="G512" s="1"/>
      <c r="I512" s="1"/>
    </row>
    <row r="513" ht="15.75" customHeight="1">
      <c r="G513" s="1"/>
      <c r="I513" s="1"/>
    </row>
    <row r="514" ht="15.75" customHeight="1">
      <c r="G514" s="1"/>
      <c r="I514" s="1"/>
    </row>
    <row r="515" ht="15.75" customHeight="1">
      <c r="G515" s="1"/>
      <c r="I515" s="1"/>
    </row>
    <row r="516" ht="15.75" customHeight="1">
      <c r="G516" s="1"/>
      <c r="I516" s="1"/>
    </row>
    <row r="517" ht="15.75" customHeight="1">
      <c r="G517" s="1"/>
      <c r="I517" s="1"/>
    </row>
    <row r="518" ht="15.75" customHeight="1">
      <c r="G518" s="1"/>
      <c r="I518" s="1"/>
    </row>
    <row r="519" ht="15.75" customHeight="1">
      <c r="G519" s="1"/>
      <c r="I519" s="1"/>
    </row>
    <row r="520" ht="15.75" customHeight="1">
      <c r="G520" s="1"/>
      <c r="I520" s="1"/>
    </row>
    <row r="521" ht="15.75" customHeight="1">
      <c r="G521" s="1"/>
      <c r="I521" s="1"/>
    </row>
    <row r="522" ht="15.75" customHeight="1">
      <c r="G522" s="1"/>
      <c r="I522" s="1"/>
    </row>
    <row r="523" ht="15.75" customHeight="1">
      <c r="G523" s="1"/>
      <c r="I523" s="1"/>
    </row>
    <row r="524" ht="15.75" customHeight="1">
      <c r="G524" s="1"/>
      <c r="I524" s="1"/>
    </row>
    <row r="525" ht="15.75" customHeight="1">
      <c r="G525" s="1"/>
      <c r="I525" s="1"/>
    </row>
    <row r="526" ht="15.75" customHeight="1">
      <c r="G526" s="1"/>
      <c r="I526" s="1"/>
    </row>
    <row r="527" ht="15.75" customHeight="1">
      <c r="G527" s="1"/>
      <c r="I527" s="1"/>
    </row>
    <row r="528" ht="15.75" customHeight="1">
      <c r="G528" s="1"/>
      <c r="I528" s="1"/>
    </row>
    <row r="529" ht="15.75" customHeight="1">
      <c r="G529" s="1"/>
      <c r="I529" s="1"/>
    </row>
    <row r="530" ht="15.75" customHeight="1">
      <c r="G530" s="1"/>
      <c r="I530" s="1"/>
    </row>
    <row r="531" ht="15.75" customHeight="1">
      <c r="G531" s="1"/>
      <c r="I531" s="1"/>
    </row>
    <row r="532" ht="15.75" customHeight="1">
      <c r="G532" s="1"/>
      <c r="I532" s="1"/>
    </row>
    <row r="533" ht="15.75" customHeight="1">
      <c r="G533" s="1"/>
      <c r="I533" s="1"/>
    </row>
    <row r="534" ht="15.75" customHeight="1">
      <c r="G534" s="1"/>
      <c r="I534" s="1"/>
    </row>
    <row r="535" ht="15.75" customHeight="1">
      <c r="G535" s="1"/>
      <c r="I535" s="1"/>
    </row>
    <row r="536" ht="15.75" customHeight="1">
      <c r="G536" s="1"/>
      <c r="I536" s="1"/>
    </row>
    <row r="537" ht="15.75" customHeight="1">
      <c r="G537" s="1"/>
      <c r="I537" s="1"/>
    </row>
    <row r="538" ht="15.75" customHeight="1">
      <c r="G538" s="1"/>
      <c r="I538" s="1"/>
    </row>
    <row r="539" ht="15.75" customHeight="1">
      <c r="G539" s="1"/>
      <c r="I539" s="1"/>
    </row>
    <row r="540" ht="15.75" customHeight="1">
      <c r="G540" s="1"/>
      <c r="I540" s="1"/>
    </row>
    <row r="541" ht="15.75" customHeight="1">
      <c r="G541" s="1"/>
      <c r="I541" s="1"/>
    </row>
    <row r="542" ht="15.75" customHeight="1">
      <c r="G542" s="1"/>
      <c r="I542" s="1"/>
    </row>
    <row r="543" ht="15.75" customHeight="1">
      <c r="G543" s="1"/>
      <c r="I543" s="1"/>
    </row>
    <row r="544" ht="15.75" customHeight="1">
      <c r="G544" s="1"/>
      <c r="I544" s="1"/>
    </row>
    <row r="545" ht="15.75" customHeight="1">
      <c r="G545" s="1"/>
      <c r="I545" s="1"/>
    </row>
    <row r="546" ht="15.75" customHeight="1">
      <c r="G546" s="1"/>
      <c r="I546" s="1"/>
    </row>
    <row r="547" ht="15.75" customHeight="1">
      <c r="G547" s="1"/>
      <c r="I547" s="1"/>
    </row>
    <row r="548" ht="15.75" customHeight="1">
      <c r="G548" s="1"/>
      <c r="I548" s="1"/>
    </row>
    <row r="549" ht="15.75" customHeight="1">
      <c r="G549" s="1"/>
      <c r="I549" s="1"/>
    </row>
    <row r="550" ht="15.75" customHeight="1">
      <c r="G550" s="1"/>
      <c r="I550" s="1"/>
    </row>
    <row r="551" ht="15.75" customHeight="1">
      <c r="G551" s="1"/>
      <c r="I551" s="1"/>
    </row>
    <row r="552" ht="15.75" customHeight="1">
      <c r="G552" s="1"/>
      <c r="I552" s="1"/>
    </row>
    <row r="553" ht="15.75" customHeight="1">
      <c r="G553" s="1"/>
      <c r="I553" s="1"/>
    </row>
    <row r="554" ht="15.75" customHeight="1">
      <c r="G554" s="1"/>
      <c r="I554" s="1"/>
    </row>
    <row r="555" ht="15.75" customHeight="1">
      <c r="G555" s="1"/>
      <c r="I555" s="1"/>
    </row>
    <row r="556" ht="15.75" customHeight="1">
      <c r="G556" s="1"/>
      <c r="I556" s="1"/>
    </row>
    <row r="557" ht="15.75" customHeight="1">
      <c r="G557" s="1"/>
      <c r="I557" s="1"/>
    </row>
    <row r="558" ht="15.75" customHeight="1">
      <c r="G558" s="1"/>
      <c r="I558" s="1"/>
    </row>
    <row r="559" ht="15.75" customHeight="1">
      <c r="G559" s="1"/>
      <c r="I559" s="1"/>
    </row>
    <row r="560" ht="15.75" customHeight="1">
      <c r="G560" s="1"/>
      <c r="I560" s="1"/>
    </row>
    <row r="561" ht="15.75" customHeight="1">
      <c r="G561" s="1"/>
      <c r="I561" s="1"/>
    </row>
    <row r="562" ht="15.75" customHeight="1">
      <c r="G562" s="1"/>
      <c r="I562" s="1"/>
    </row>
    <row r="563" ht="15.75" customHeight="1">
      <c r="G563" s="1"/>
      <c r="I563" s="1"/>
    </row>
    <row r="564" ht="15.75" customHeight="1">
      <c r="G564" s="1"/>
      <c r="I564" s="1"/>
    </row>
    <row r="565" ht="15.75" customHeight="1">
      <c r="G565" s="1"/>
      <c r="I565" s="1"/>
    </row>
    <row r="566" ht="15.75" customHeight="1">
      <c r="G566" s="1"/>
      <c r="I566" s="1"/>
    </row>
    <row r="567" ht="15.75" customHeight="1">
      <c r="G567" s="1"/>
      <c r="I567" s="1"/>
    </row>
    <row r="568" ht="15.75" customHeight="1">
      <c r="G568" s="1"/>
      <c r="I568" s="1"/>
    </row>
    <row r="569" ht="15.75" customHeight="1">
      <c r="G569" s="1"/>
      <c r="I569" s="1"/>
    </row>
    <row r="570" ht="15.75" customHeight="1">
      <c r="G570" s="1"/>
      <c r="I570" s="1"/>
    </row>
    <row r="571" ht="15.75" customHeight="1">
      <c r="G571" s="1"/>
      <c r="I571" s="1"/>
    </row>
    <row r="572" ht="15.75" customHeight="1">
      <c r="G572" s="1"/>
      <c r="I572" s="1"/>
    </row>
    <row r="573" ht="15.75" customHeight="1">
      <c r="G573" s="1"/>
      <c r="I573" s="1"/>
    </row>
    <row r="574" ht="15.75" customHeight="1">
      <c r="G574" s="1"/>
      <c r="I574" s="1"/>
    </row>
    <row r="575" ht="15.75" customHeight="1">
      <c r="G575" s="1"/>
      <c r="I575" s="1"/>
    </row>
    <row r="576" ht="15.75" customHeight="1">
      <c r="G576" s="1"/>
      <c r="I576" s="1"/>
    </row>
    <row r="577" ht="15.75" customHeight="1">
      <c r="G577" s="1"/>
      <c r="I577" s="1"/>
    </row>
    <row r="578" ht="15.75" customHeight="1">
      <c r="G578" s="1"/>
      <c r="I578" s="1"/>
    </row>
    <row r="579" ht="15.75" customHeight="1">
      <c r="G579" s="1"/>
      <c r="I579" s="1"/>
    </row>
    <row r="580" ht="15.75" customHeight="1">
      <c r="G580" s="1"/>
      <c r="I580" s="1"/>
    </row>
    <row r="581" ht="15.75" customHeight="1">
      <c r="G581" s="1"/>
      <c r="I581" s="1"/>
    </row>
    <row r="582" ht="15.75" customHeight="1">
      <c r="G582" s="1"/>
      <c r="I582" s="1"/>
    </row>
    <row r="583" ht="15.75" customHeight="1">
      <c r="G583" s="1"/>
      <c r="I583" s="1"/>
    </row>
    <row r="584" ht="15.75" customHeight="1">
      <c r="G584" s="1"/>
      <c r="I584" s="1"/>
    </row>
    <row r="585" ht="15.75" customHeight="1">
      <c r="G585" s="1"/>
      <c r="I585" s="1"/>
    </row>
    <row r="586" ht="15.75" customHeight="1">
      <c r="G586" s="1"/>
      <c r="I586" s="1"/>
    </row>
    <row r="587" ht="15.75" customHeight="1">
      <c r="G587" s="1"/>
      <c r="I587" s="1"/>
    </row>
    <row r="588" ht="15.75" customHeight="1">
      <c r="G588" s="1"/>
      <c r="I588" s="1"/>
    </row>
    <row r="589" ht="15.75" customHeight="1">
      <c r="G589" s="1"/>
      <c r="I589" s="1"/>
    </row>
    <row r="590" ht="15.75" customHeight="1">
      <c r="G590" s="1"/>
      <c r="I590" s="1"/>
    </row>
    <row r="591" ht="15.75" customHeight="1">
      <c r="G591" s="1"/>
      <c r="I591" s="1"/>
    </row>
    <row r="592" ht="15.75" customHeight="1">
      <c r="G592" s="1"/>
      <c r="I592" s="1"/>
    </row>
    <row r="593" ht="15.75" customHeight="1">
      <c r="G593" s="1"/>
      <c r="I593" s="1"/>
    </row>
    <row r="594" ht="15.75" customHeight="1">
      <c r="G594" s="1"/>
      <c r="I594" s="1"/>
    </row>
    <row r="595" ht="15.75" customHeight="1">
      <c r="G595" s="1"/>
      <c r="I595" s="1"/>
    </row>
    <row r="596" ht="15.75" customHeight="1">
      <c r="G596" s="1"/>
      <c r="I596" s="1"/>
    </row>
    <row r="597" ht="15.75" customHeight="1">
      <c r="G597" s="1"/>
      <c r="I597" s="1"/>
    </row>
    <row r="598" ht="15.75" customHeight="1">
      <c r="G598" s="1"/>
      <c r="I598" s="1"/>
    </row>
    <row r="599" ht="15.75" customHeight="1">
      <c r="G599" s="1"/>
      <c r="I599" s="1"/>
    </row>
    <row r="600" ht="15.75" customHeight="1">
      <c r="G600" s="1"/>
      <c r="I600" s="1"/>
    </row>
    <row r="601" ht="15.75" customHeight="1">
      <c r="G601" s="1"/>
      <c r="I601" s="1"/>
    </row>
    <row r="602" ht="15.75" customHeight="1">
      <c r="G602" s="1"/>
      <c r="I602" s="1"/>
    </row>
    <row r="603" ht="15.75" customHeight="1">
      <c r="G603" s="1"/>
      <c r="I603" s="1"/>
    </row>
    <row r="604" ht="15.75" customHeight="1">
      <c r="G604" s="1"/>
      <c r="I604" s="1"/>
    </row>
    <row r="605" ht="15.75" customHeight="1">
      <c r="G605" s="1"/>
      <c r="I605" s="1"/>
    </row>
    <row r="606" ht="15.75" customHeight="1">
      <c r="G606" s="1"/>
      <c r="I606" s="1"/>
    </row>
    <row r="607" ht="15.75" customHeight="1">
      <c r="G607" s="1"/>
      <c r="I607" s="1"/>
    </row>
    <row r="608" ht="15.75" customHeight="1">
      <c r="G608" s="1"/>
      <c r="I608" s="1"/>
    </row>
    <row r="609" ht="15.75" customHeight="1">
      <c r="G609" s="1"/>
      <c r="I609" s="1"/>
    </row>
    <row r="610" ht="15.75" customHeight="1">
      <c r="G610" s="1"/>
      <c r="I610" s="1"/>
    </row>
    <row r="611" ht="15.75" customHeight="1">
      <c r="G611" s="1"/>
      <c r="I611" s="1"/>
    </row>
    <row r="612" ht="15.75" customHeight="1">
      <c r="G612" s="1"/>
      <c r="I612" s="1"/>
    </row>
    <row r="613" ht="15.75" customHeight="1">
      <c r="G613" s="1"/>
      <c r="I613" s="1"/>
    </row>
    <row r="614" ht="15.75" customHeight="1">
      <c r="G614" s="1"/>
      <c r="I614" s="1"/>
    </row>
    <row r="615" ht="15.75" customHeight="1">
      <c r="G615" s="1"/>
      <c r="I615" s="1"/>
    </row>
    <row r="616" ht="15.75" customHeight="1">
      <c r="G616" s="1"/>
      <c r="I616" s="1"/>
    </row>
    <row r="617" ht="15.75" customHeight="1">
      <c r="G617" s="1"/>
      <c r="I617" s="1"/>
    </row>
    <row r="618" ht="15.75" customHeight="1">
      <c r="G618" s="1"/>
      <c r="I618" s="1"/>
    </row>
    <row r="619" ht="15.75" customHeight="1">
      <c r="G619" s="1"/>
      <c r="I619" s="1"/>
    </row>
    <row r="620" ht="15.75" customHeight="1">
      <c r="G620" s="1"/>
      <c r="I620" s="1"/>
    </row>
    <row r="621" ht="15.75" customHeight="1">
      <c r="G621" s="1"/>
      <c r="I621" s="1"/>
    </row>
    <row r="622" ht="15.75" customHeight="1">
      <c r="G622" s="1"/>
      <c r="I622" s="1"/>
    </row>
    <row r="623" ht="15.75" customHeight="1">
      <c r="G623" s="1"/>
      <c r="I623" s="1"/>
    </row>
    <row r="624" ht="15.75" customHeight="1">
      <c r="G624" s="1"/>
      <c r="I624" s="1"/>
    </row>
    <row r="625" ht="15.75" customHeight="1">
      <c r="G625" s="1"/>
      <c r="I625" s="1"/>
    </row>
    <row r="626" ht="15.75" customHeight="1">
      <c r="G626" s="1"/>
      <c r="I626" s="1"/>
    </row>
    <row r="627" ht="15.75" customHeight="1">
      <c r="G627" s="1"/>
      <c r="I627" s="1"/>
    </row>
    <row r="628" ht="15.75" customHeight="1">
      <c r="G628" s="1"/>
      <c r="I628" s="1"/>
    </row>
    <row r="629" ht="15.75" customHeight="1">
      <c r="G629" s="1"/>
      <c r="I629" s="1"/>
    </row>
    <row r="630" ht="15.75" customHeight="1">
      <c r="G630" s="1"/>
      <c r="I630" s="1"/>
    </row>
    <row r="631" ht="15.75" customHeight="1">
      <c r="G631" s="1"/>
      <c r="I631" s="1"/>
    </row>
    <row r="632" ht="15.75" customHeight="1">
      <c r="G632" s="1"/>
      <c r="I632" s="1"/>
    </row>
    <row r="633" ht="15.75" customHeight="1">
      <c r="G633" s="1"/>
      <c r="I633" s="1"/>
    </row>
    <row r="634" ht="15.75" customHeight="1">
      <c r="G634" s="1"/>
      <c r="I634" s="1"/>
    </row>
    <row r="635" ht="15.75" customHeight="1">
      <c r="G635" s="1"/>
      <c r="I635" s="1"/>
    </row>
    <row r="636" ht="15.75" customHeight="1">
      <c r="G636" s="1"/>
      <c r="I636" s="1"/>
    </row>
    <row r="637" ht="15.75" customHeight="1">
      <c r="G637" s="1"/>
      <c r="I637" s="1"/>
    </row>
    <row r="638" ht="15.75" customHeight="1">
      <c r="G638" s="1"/>
      <c r="I638" s="1"/>
    </row>
    <row r="639" ht="15.75" customHeight="1">
      <c r="G639" s="1"/>
      <c r="I639" s="1"/>
    </row>
    <row r="640" ht="15.75" customHeight="1">
      <c r="G640" s="1"/>
      <c r="I640" s="1"/>
    </row>
    <row r="641" ht="15.75" customHeight="1">
      <c r="G641" s="1"/>
      <c r="I641" s="1"/>
    </row>
    <row r="642" ht="15.75" customHeight="1">
      <c r="G642" s="1"/>
      <c r="I642" s="1"/>
    </row>
    <row r="643" ht="15.75" customHeight="1">
      <c r="G643" s="1"/>
      <c r="I643" s="1"/>
    </row>
    <row r="644" ht="15.75" customHeight="1">
      <c r="G644" s="1"/>
      <c r="I644" s="1"/>
    </row>
    <row r="645" ht="15.75" customHeight="1">
      <c r="G645" s="1"/>
      <c r="I645" s="1"/>
    </row>
    <row r="646" ht="15.75" customHeight="1">
      <c r="G646" s="1"/>
      <c r="I646" s="1"/>
    </row>
    <row r="647" ht="15.75" customHeight="1">
      <c r="G647" s="1"/>
      <c r="I647" s="1"/>
    </row>
    <row r="648" ht="15.75" customHeight="1">
      <c r="G648" s="1"/>
      <c r="I648" s="1"/>
    </row>
    <row r="649" ht="15.75" customHeight="1">
      <c r="G649" s="1"/>
      <c r="I649" s="1"/>
    </row>
    <row r="650" ht="15.75" customHeight="1">
      <c r="G650" s="1"/>
      <c r="I650" s="1"/>
    </row>
    <row r="651" ht="15.75" customHeight="1">
      <c r="G651" s="1"/>
      <c r="I651" s="1"/>
    </row>
    <row r="652" ht="15.75" customHeight="1">
      <c r="G652" s="1"/>
      <c r="I652" s="1"/>
    </row>
    <row r="653" ht="15.75" customHeight="1">
      <c r="G653" s="1"/>
      <c r="I653" s="1"/>
    </row>
    <row r="654" ht="15.75" customHeight="1">
      <c r="G654" s="1"/>
      <c r="I654" s="1"/>
    </row>
    <row r="655" ht="15.75" customHeight="1">
      <c r="G655" s="1"/>
      <c r="I655" s="1"/>
    </row>
    <row r="656" ht="15.75" customHeight="1">
      <c r="G656" s="1"/>
      <c r="I656" s="1"/>
    </row>
    <row r="657" ht="15.75" customHeight="1">
      <c r="G657" s="1"/>
      <c r="I657" s="1"/>
    </row>
    <row r="658" ht="15.75" customHeight="1">
      <c r="G658" s="1"/>
      <c r="I658" s="1"/>
    </row>
    <row r="659" ht="15.75" customHeight="1">
      <c r="G659" s="1"/>
      <c r="I659" s="1"/>
    </row>
    <row r="660" ht="15.75" customHeight="1">
      <c r="G660" s="1"/>
      <c r="I660" s="1"/>
    </row>
    <row r="661" ht="15.75" customHeight="1">
      <c r="G661" s="1"/>
      <c r="I661" s="1"/>
    </row>
    <row r="662" ht="15.75" customHeight="1">
      <c r="G662" s="1"/>
      <c r="I662" s="1"/>
    </row>
    <row r="663" ht="15.75" customHeight="1">
      <c r="G663" s="1"/>
      <c r="I663" s="1"/>
    </row>
    <row r="664" ht="15.75" customHeight="1">
      <c r="G664" s="1"/>
      <c r="I664" s="1"/>
    </row>
    <row r="665" ht="15.75" customHeight="1">
      <c r="G665" s="1"/>
      <c r="I665" s="1"/>
    </row>
    <row r="666" ht="15.75" customHeight="1">
      <c r="G666" s="1"/>
      <c r="I666" s="1"/>
    </row>
    <row r="667" ht="15.75" customHeight="1">
      <c r="G667" s="1"/>
      <c r="I667" s="1"/>
    </row>
    <row r="668" ht="15.75" customHeight="1">
      <c r="G668" s="1"/>
      <c r="I668" s="1"/>
    </row>
    <row r="669" ht="15.75" customHeight="1">
      <c r="G669" s="1"/>
      <c r="I669" s="1"/>
    </row>
    <row r="670" ht="15.75" customHeight="1">
      <c r="G670" s="1"/>
      <c r="I670" s="1"/>
    </row>
    <row r="671" ht="15.75" customHeight="1">
      <c r="G671" s="1"/>
      <c r="I671" s="1"/>
    </row>
    <row r="672" ht="15.75" customHeight="1">
      <c r="G672" s="1"/>
      <c r="I672" s="1"/>
    </row>
    <row r="673" ht="15.75" customHeight="1">
      <c r="G673" s="1"/>
      <c r="I673" s="1"/>
    </row>
    <row r="674" ht="15.75" customHeight="1">
      <c r="G674" s="1"/>
      <c r="I674" s="1"/>
    </row>
    <row r="675" ht="15.75" customHeight="1">
      <c r="G675" s="1"/>
      <c r="I675" s="1"/>
    </row>
    <row r="676" ht="15.75" customHeight="1">
      <c r="G676" s="1"/>
      <c r="I676" s="1"/>
    </row>
    <row r="677" ht="15.75" customHeight="1">
      <c r="G677" s="1"/>
      <c r="I677" s="1"/>
    </row>
    <row r="678" ht="15.75" customHeight="1">
      <c r="G678" s="1"/>
      <c r="I678" s="1"/>
    </row>
    <row r="679" ht="15.75" customHeight="1">
      <c r="G679" s="1"/>
      <c r="I679" s="1"/>
    </row>
    <row r="680" ht="15.75" customHeight="1">
      <c r="G680" s="1"/>
      <c r="I680" s="1"/>
    </row>
    <row r="681" ht="15.75" customHeight="1">
      <c r="G681" s="1"/>
      <c r="I681" s="1"/>
    </row>
    <row r="682" ht="15.75" customHeight="1">
      <c r="G682" s="1"/>
      <c r="I682" s="1"/>
    </row>
    <row r="683" ht="15.75" customHeight="1">
      <c r="G683" s="1"/>
      <c r="I683" s="1"/>
    </row>
    <row r="684" ht="15.75" customHeight="1">
      <c r="G684" s="1"/>
      <c r="I684" s="1"/>
    </row>
    <row r="685" ht="15.75" customHeight="1">
      <c r="G685" s="1"/>
      <c r="I685" s="1"/>
    </row>
    <row r="686" ht="15.75" customHeight="1">
      <c r="G686" s="1"/>
      <c r="I686" s="1"/>
    </row>
    <row r="687" ht="15.75" customHeight="1">
      <c r="G687" s="1"/>
      <c r="I687" s="1"/>
    </row>
    <row r="688" ht="15.75" customHeight="1">
      <c r="G688" s="1"/>
      <c r="I688" s="1"/>
    </row>
    <row r="689" ht="15.75" customHeight="1">
      <c r="G689" s="1"/>
      <c r="I689" s="1"/>
    </row>
    <row r="690" ht="15.75" customHeight="1">
      <c r="G690" s="1"/>
      <c r="I690" s="1"/>
    </row>
    <row r="691" ht="15.75" customHeight="1">
      <c r="G691" s="1"/>
      <c r="I691" s="1"/>
    </row>
    <row r="692" ht="15.75" customHeight="1">
      <c r="G692" s="1"/>
      <c r="I692" s="1"/>
    </row>
    <row r="693" ht="15.75" customHeight="1">
      <c r="G693" s="1"/>
      <c r="I693" s="1"/>
    </row>
    <row r="694" ht="15.75" customHeight="1">
      <c r="G694" s="1"/>
      <c r="I694" s="1"/>
    </row>
    <row r="695" ht="15.75" customHeight="1">
      <c r="G695" s="1"/>
      <c r="I695" s="1"/>
    </row>
    <row r="696" ht="15.75" customHeight="1">
      <c r="G696" s="1"/>
      <c r="I696" s="1"/>
    </row>
    <row r="697" ht="15.75" customHeight="1">
      <c r="G697" s="1"/>
      <c r="I697" s="1"/>
    </row>
    <row r="698" ht="15.75" customHeight="1">
      <c r="G698" s="1"/>
      <c r="I698" s="1"/>
    </row>
    <row r="699" ht="15.75" customHeight="1">
      <c r="G699" s="1"/>
      <c r="I699" s="1"/>
    </row>
    <row r="700" ht="15.75" customHeight="1">
      <c r="G700" s="1"/>
      <c r="I700" s="1"/>
    </row>
    <row r="701" ht="15.75" customHeight="1">
      <c r="G701" s="1"/>
      <c r="I701" s="1"/>
    </row>
    <row r="702" ht="15.75" customHeight="1">
      <c r="G702" s="1"/>
      <c r="I702" s="1"/>
    </row>
    <row r="703" ht="15.75" customHeight="1">
      <c r="G703" s="1"/>
      <c r="I703" s="1"/>
    </row>
    <row r="704" ht="15.75" customHeight="1">
      <c r="G704" s="1"/>
      <c r="I704" s="1"/>
    </row>
    <row r="705" ht="15.75" customHeight="1">
      <c r="G705" s="1"/>
      <c r="I705" s="1"/>
    </row>
    <row r="706" ht="15.75" customHeight="1">
      <c r="G706" s="1"/>
      <c r="I706" s="1"/>
    </row>
    <row r="707" ht="15.75" customHeight="1">
      <c r="G707" s="1"/>
      <c r="I707" s="1"/>
    </row>
    <row r="708" ht="15.75" customHeight="1">
      <c r="G708" s="1"/>
      <c r="I708" s="1"/>
    </row>
    <row r="709" ht="15.75" customHeight="1">
      <c r="G709" s="1"/>
      <c r="I709" s="1"/>
    </row>
    <row r="710" ht="15.75" customHeight="1">
      <c r="G710" s="1"/>
      <c r="I710" s="1"/>
    </row>
    <row r="711" ht="15.75" customHeight="1">
      <c r="G711" s="1"/>
      <c r="I711" s="1"/>
    </row>
    <row r="712" ht="15.75" customHeight="1">
      <c r="G712" s="1"/>
      <c r="I712" s="1"/>
    </row>
    <row r="713" ht="15.75" customHeight="1">
      <c r="G713" s="1"/>
      <c r="I713" s="1"/>
    </row>
    <row r="714" ht="15.75" customHeight="1">
      <c r="G714" s="1"/>
      <c r="I714" s="1"/>
    </row>
    <row r="715" ht="15.75" customHeight="1">
      <c r="G715" s="1"/>
      <c r="I715" s="1"/>
    </row>
    <row r="716" ht="15.75" customHeight="1">
      <c r="G716" s="1"/>
      <c r="I716" s="1"/>
    </row>
    <row r="717" ht="15.75" customHeight="1">
      <c r="G717" s="1"/>
      <c r="I717" s="1"/>
    </row>
    <row r="718" ht="15.75" customHeight="1">
      <c r="G718" s="1"/>
      <c r="I718" s="1"/>
    </row>
    <row r="719" ht="15.75" customHeight="1">
      <c r="G719" s="1"/>
      <c r="I719" s="1"/>
    </row>
    <row r="720" ht="15.75" customHeight="1">
      <c r="G720" s="1"/>
      <c r="I720" s="1"/>
    </row>
    <row r="721" ht="15.75" customHeight="1">
      <c r="G721" s="1"/>
      <c r="I721" s="1"/>
    </row>
    <row r="722" ht="15.75" customHeight="1">
      <c r="G722" s="1"/>
      <c r="I722" s="1"/>
    </row>
    <row r="723" ht="15.75" customHeight="1">
      <c r="G723" s="1"/>
      <c r="I723" s="1"/>
    </row>
    <row r="724" ht="15.75" customHeight="1">
      <c r="G724" s="1"/>
      <c r="I724" s="1"/>
    </row>
    <row r="725" ht="15.75" customHeight="1">
      <c r="G725" s="1"/>
      <c r="I725" s="1"/>
    </row>
    <row r="726" ht="15.75" customHeight="1">
      <c r="G726" s="1"/>
      <c r="I726" s="1"/>
    </row>
    <row r="727" ht="15.75" customHeight="1">
      <c r="G727" s="1"/>
      <c r="I727" s="1"/>
    </row>
    <row r="728" ht="15.75" customHeight="1">
      <c r="G728" s="1"/>
      <c r="I728" s="1"/>
    </row>
    <row r="729" ht="15.75" customHeight="1">
      <c r="G729" s="1"/>
      <c r="I729" s="1"/>
    </row>
    <row r="730" ht="15.75" customHeight="1">
      <c r="G730" s="1"/>
      <c r="I730" s="1"/>
    </row>
    <row r="731" ht="15.75" customHeight="1">
      <c r="G731" s="1"/>
      <c r="I731" s="1"/>
    </row>
    <row r="732" ht="15.75" customHeight="1">
      <c r="G732" s="1"/>
      <c r="I732" s="1"/>
    </row>
    <row r="733" ht="15.75" customHeight="1">
      <c r="G733" s="1"/>
      <c r="I733" s="1"/>
    </row>
    <row r="734" ht="15.75" customHeight="1">
      <c r="G734" s="1"/>
      <c r="I734" s="1"/>
    </row>
    <row r="735" ht="15.75" customHeight="1">
      <c r="G735" s="1"/>
      <c r="I735" s="1"/>
    </row>
    <row r="736" ht="15.75" customHeight="1">
      <c r="G736" s="1"/>
      <c r="I736" s="1"/>
    </row>
    <row r="737" ht="15.75" customHeight="1">
      <c r="G737" s="1"/>
      <c r="I737" s="1"/>
    </row>
    <row r="738" ht="15.75" customHeight="1">
      <c r="G738" s="1"/>
      <c r="I738" s="1"/>
    </row>
    <row r="739" ht="15.75" customHeight="1">
      <c r="G739" s="1"/>
      <c r="I739" s="1"/>
    </row>
    <row r="740" ht="15.75" customHeight="1">
      <c r="G740" s="1"/>
      <c r="I740" s="1"/>
    </row>
    <row r="741" ht="15.75" customHeight="1">
      <c r="G741" s="1"/>
      <c r="I741" s="1"/>
    </row>
    <row r="742" ht="15.75" customHeight="1">
      <c r="G742" s="1"/>
      <c r="I742" s="1"/>
    </row>
    <row r="743" ht="15.75" customHeight="1">
      <c r="G743" s="1"/>
      <c r="I743" s="1"/>
    </row>
    <row r="744" ht="15.75" customHeight="1">
      <c r="G744" s="1"/>
      <c r="I744" s="1"/>
    </row>
    <row r="745" ht="15.75" customHeight="1">
      <c r="G745" s="1"/>
      <c r="I745" s="1"/>
    </row>
    <row r="746" ht="15.75" customHeight="1">
      <c r="G746" s="1"/>
      <c r="I746" s="1"/>
    </row>
    <row r="747" ht="15.75" customHeight="1">
      <c r="G747" s="1"/>
      <c r="I747" s="1"/>
    </row>
    <row r="748" ht="15.75" customHeight="1">
      <c r="G748" s="1"/>
      <c r="I748" s="1"/>
    </row>
    <row r="749" ht="15.75" customHeight="1">
      <c r="G749" s="1"/>
      <c r="I749" s="1"/>
    </row>
    <row r="750" ht="15.75" customHeight="1">
      <c r="G750" s="1"/>
      <c r="I750" s="1"/>
    </row>
    <row r="751" ht="15.75" customHeight="1">
      <c r="G751" s="1"/>
      <c r="I751" s="1"/>
    </row>
    <row r="752" ht="15.75" customHeight="1">
      <c r="G752" s="1"/>
      <c r="I752" s="1"/>
    </row>
    <row r="753" ht="15.75" customHeight="1">
      <c r="G753" s="1"/>
      <c r="I753" s="1"/>
    </row>
    <row r="754" ht="15.75" customHeight="1">
      <c r="G754" s="1"/>
      <c r="I754" s="1"/>
    </row>
    <row r="755" ht="15.75" customHeight="1">
      <c r="G755" s="1"/>
      <c r="I755" s="1"/>
    </row>
    <row r="756" ht="15.75" customHeight="1">
      <c r="G756" s="1"/>
      <c r="I756" s="1"/>
    </row>
    <row r="757" ht="15.75" customHeight="1">
      <c r="G757" s="1"/>
      <c r="I757" s="1"/>
    </row>
    <row r="758" ht="15.75" customHeight="1">
      <c r="G758" s="1"/>
      <c r="I758" s="1"/>
    </row>
    <row r="759" ht="15.75" customHeight="1">
      <c r="G759" s="1"/>
      <c r="I759" s="1"/>
    </row>
    <row r="760" ht="15.75" customHeight="1">
      <c r="G760" s="1"/>
      <c r="I760" s="1"/>
    </row>
    <row r="761" ht="15.75" customHeight="1">
      <c r="G761" s="1"/>
      <c r="I761" s="1"/>
    </row>
    <row r="762" ht="15.75" customHeight="1">
      <c r="G762" s="1"/>
      <c r="I762" s="1"/>
    </row>
    <row r="763" ht="15.75" customHeight="1">
      <c r="G763" s="1"/>
      <c r="I763" s="1"/>
    </row>
    <row r="764" ht="15.75" customHeight="1">
      <c r="G764" s="1"/>
      <c r="I764" s="1"/>
    </row>
    <row r="765" ht="15.75" customHeight="1">
      <c r="G765" s="1"/>
      <c r="I765" s="1"/>
    </row>
    <row r="766" ht="15.75" customHeight="1">
      <c r="G766" s="1"/>
      <c r="I766" s="1"/>
    </row>
    <row r="767" ht="15.75" customHeight="1">
      <c r="G767" s="1"/>
      <c r="I767" s="1"/>
    </row>
    <row r="768" ht="15.75" customHeight="1">
      <c r="G768" s="1"/>
      <c r="I768" s="1"/>
    </row>
    <row r="769" ht="15.75" customHeight="1">
      <c r="G769" s="1"/>
      <c r="I769" s="1"/>
    </row>
    <row r="770" ht="15.75" customHeight="1">
      <c r="G770" s="1"/>
      <c r="I770" s="1"/>
    </row>
    <row r="771" ht="15.75" customHeight="1">
      <c r="G771" s="1"/>
      <c r="I771" s="1"/>
    </row>
    <row r="772" ht="15.75" customHeight="1">
      <c r="G772" s="1"/>
      <c r="I772" s="1"/>
    </row>
    <row r="773" ht="15.75" customHeight="1">
      <c r="G773" s="1"/>
      <c r="I773" s="1"/>
    </row>
    <row r="774" ht="15.75" customHeight="1">
      <c r="G774" s="1"/>
      <c r="I774" s="1"/>
    </row>
    <row r="775" ht="15.75" customHeight="1">
      <c r="G775" s="1"/>
      <c r="I775" s="1"/>
    </row>
    <row r="776" ht="15.75" customHeight="1">
      <c r="G776" s="1"/>
      <c r="I776" s="1"/>
    </row>
    <row r="777" ht="15.75" customHeight="1">
      <c r="G777" s="1"/>
      <c r="I777" s="1"/>
    </row>
    <row r="778" ht="15.75" customHeight="1">
      <c r="G778" s="1"/>
      <c r="I778" s="1"/>
    </row>
    <row r="779" ht="15.75" customHeight="1">
      <c r="G779" s="1"/>
      <c r="I779" s="1"/>
    </row>
    <row r="780" ht="15.75" customHeight="1">
      <c r="G780" s="1"/>
      <c r="I780" s="1"/>
    </row>
    <row r="781" ht="15.75" customHeight="1">
      <c r="G781" s="1"/>
      <c r="I781" s="1"/>
    </row>
    <row r="782" ht="15.75" customHeight="1">
      <c r="G782" s="1"/>
      <c r="I782" s="1"/>
    </row>
    <row r="783" ht="15.75" customHeight="1">
      <c r="G783" s="1"/>
      <c r="I783" s="1"/>
    </row>
    <row r="784" ht="15.75" customHeight="1">
      <c r="G784" s="1"/>
      <c r="I784" s="1"/>
    </row>
    <row r="785" ht="15.75" customHeight="1">
      <c r="G785" s="1"/>
      <c r="I785" s="1"/>
    </row>
    <row r="786" ht="15.75" customHeight="1">
      <c r="G786" s="1"/>
      <c r="I786" s="1"/>
    </row>
    <row r="787" ht="15.75" customHeight="1">
      <c r="G787" s="1"/>
      <c r="I787" s="1"/>
    </row>
    <row r="788" ht="15.75" customHeight="1">
      <c r="G788" s="1"/>
      <c r="I788" s="1"/>
    </row>
    <row r="789" ht="15.75" customHeight="1">
      <c r="G789" s="1"/>
      <c r="I789" s="1"/>
    </row>
    <row r="790" ht="15.75" customHeight="1">
      <c r="G790" s="1"/>
      <c r="I790" s="1"/>
    </row>
    <row r="791" ht="15.75" customHeight="1">
      <c r="G791" s="1"/>
      <c r="I791" s="1"/>
    </row>
    <row r="792" ht="15.75" customHeight="1">
      <c r="G792" s="1"/>
      <c r="I792" s="1"/>
    </row>
    <row r="793" ht="15.75" customHeight="1">
      <c r="G793" s="1"/>
      <c r="I793" s="1"/>
    </row>
    <row r="794" ht="15.75" customHeight="1">
      <c r="G794" s="1"/>
      <c r="I794" s="1"/>
    </row>
    <row r="795" ht="15.75" customHeight="1">
      <c r="G795" s="1"/>
      <c r="I795" s="1"/>
    </row>
    <row r="796" ht="15.75" customHeight="1">
      <c r="G796" s="1"/>
      <c r="I796" s="1"/>
    </row>
    <row r="797" ht="15.75" customHeight="1">
      <c r="G797" s="1"/>
      <c r="I797" s="1"/>
    </row>
    <row r="798" ht="15.75" customHeight="1">
      <c r="G798" s="1"/>
      <c r="I798" s="1"/>
    </row>
    <row r="799" ht="15.75" customHeight="1">
      <c r="G799" s="1"/>
      <c r="I799" s="1"/>
    </row>
    <row r="800" ht="15.75" customHeight="1">
      <c r="G800" s="1"/>
      <c r="I800" s="1"/>
    </row>
    <row r="801" ht="15.75" customHeight="1">
      <c r="G801" s="1"/>
      <c r="I801" s="1"/>
    </row>
    <row r="802" ht="15.75" customHeight="1">
      <c r="G802" s="1"/>
      <c r="I802" s="1"/>
    </row>
    <row r="803" ht="15.75" customHeight="1">
      <c r="G803" s="1"/>
      <c r="I803" s="1"/>
    </row>
    <row r="804" ht="15.75" customHeight="1">
      <c r="G804" s="1"/>
      <c r="I804" s="1"/>
    </row>
    <row r="805" ht="15.75" customHeight="1">
      <c r="G805" s="1"/>
      <c r="I805" s="1"/>
    </row>
    <row r="806" ht="15.75" customHeight="1">
      <c r="G806" s="1"/>
      <c r="I806" s="1"/>
    </row>
    <row r="807" ht="15.75" customHeight="1">
      <c r="G807" s="1"/>
      <c r="I807" s="1"/>
    </row>
    <row r="808" ht="15.75" customHeight="1">
      <c r="G808" s="1"/>
      <c r="I808" s="1"/>
    </row>
    <row r="809" ht="15.75" customHeight="1">
      <c r="G809" s="1"/>
      <c r="I809" s="1"/>
    </row>
    <row r="810" ht="15.75" customHeight="1">
      <c r="G810" s="1"/>
      <c r="I810" s="1"/>
    </row>
    <row r="811" ht="15.75" customHeight="1">
      <c r="G811" s="1"/>
      <c r="I811" s="1"/>
    </row>
    <row r="812" ht="15.75" customHeight="1">
      <c r="G812" s="1"/>
      <c r="I812" s="1"/>
    </row>
    <row r="813" ht="15.75" customHeight="1">
      <c r="G813" s="1"/>
      <c r="I813" s="1"/>
    </row>
    <row r="814" ht="15.75" customHeight="1">
      <c r="G814" s="1"/>
      <c r="I814" s="1"/>
    </row>
    <row r="815" ht="15.75" customHeight="1">
      <c r="G815" s="1"/>
      <c r="I815" s="1"/>
    </row>
    <row r="816" ht="15.75" customHeight="1">
      <c r="G816" s="1"/>
      <c r="I816" s="1"/>
    </row>
    <row r="817" ht="15.75" customHeight="1">
      <c r="G817" s="1"/>
      <c r="I817" s="1"/>
    </row>
    <row r="818" ht="15.75" customHeight="1">
      <c r="G818" s="1"/>
      <c r="I818" s="1"/>
    </row>
    <row r="819" ht="15.75" customHeight="1">
      <c r="G819" s="1"/>
      <c r="I819" s="1"/>
    </row>
    <row r="820" ht="15.75" customHeight="1">
      <c r="G820" s="1"/>
      <c r="I820" s="1"/>
    </row>
    <row r="821" ht="15.75" customHeight="1">
      <c r="G821" s="1"/>
      <c r="I821" s="1"/>
    </row>
    <row r="822" ht="15.75" customHeight="1">
      <c r="G822" s="1"/>
      <c r="I822" s="1"/>
    </row>
    <row r="823" ht="15.75" customHeight="1">
      <c r="G823" s="1"/>
      <c r="I823" s="1"/>
    </row>
    <row r="824" ht="15.75" customHeight="1">
      <c r="G824" s="1"/>
      <c r="I824" s="1"/>
    </row>
    <row r="825" ht="15.75" customHeight="1">
      <c r="G825" s="1"/>
      <c r="I825" s="1"/>
    </row>
    <row r="826" ht="15.75" customHeight="1">
      <c r="G826" s="1"/>
      <c r="I826" s="1"/>
    </row>
    <row r="827" ht="15.75" customHeight="1">
      <c r="G827" s="1"/>
      <c r="I827" s="1"/>
    </row>
    <row r="828" ht="15.75" customHeight="1">
      <c r="G828" s="1"/>
      <c r="I828" s="1"/>
    </row>
    <row r="829" ht="15.75" customHeight="1">
      <c r="G829" s="1"/>
      <c r="I829" s="1"/>
    </row>
    <row r="830" ht="15.75" customHeight="1">
      <c r="G830" s="1"/>
      <c r="I830" s="1"/>
    </row>
    <row r="831" ht="15.75" customHeight="1">
      <c r="G831" s="1"/>
      <c r="I831" s="1"/>
    </row>
    <row r="832" ht="15.75" customHeight="1">
      <c r="G832" s="1"/>
      <c r="I832" s="1"/>
    </row>
    <row r="833" ht="15.75" customHeight="1">
      <c r="G833" s="1"/>
      <c r="I833" s="1"/>
    </row>
    <row r="834" ht="15.75" customHeight="1">
      <c r="G834" s="1"/>
      <c r="I834" s="1"/>
    </row>
    <row r="835" ht="15.75" customHeight="1">
      <c r="G835" s="1"/>
      <c r="I835" s="1"/>
    </row>
    <row r="836" ht="15.75" customHeight="1">
      <c r="G836" s="1"/>
      <c r="I836" s="1"/>
    </row>
    <row r="837" ht="15.75" customHeight="1">
      <c r="G837" s="1"/>
      <c r="I837" s="1"/>
    </row>
    <row r="838" ht="15.75" customHeight="1">
      <c r="G838" s="1"/>
      <c r="I838" s="1"/>
    </row>
    <row r="839" ht="15.75" customHeight="1">
      <c r="G839" s="1"/>
      <c r="I839" s="1"/>
    </row>
    <row r="840" ht="15.75" customHeight="1">
      <c r="G840" s="1"/>
      <c r="I840" s="1"/>
    </row>
    <row r="841" ht="15.75" customHeight="1">
      <c r="G841" s="1"/>
      <c r="I841" s="1"/>
    </row>
    <row r="842" ht="15.75" customHeight="1">
      <c r="G842" s="1"/>
      <c r="I842" s="1"/>
    </row>
    <row r="843" ht="15.75" customHeight="1">
      <c r="G843" s="1"/>
      <c r="I843" s="1"/>
    </row>
    <row r="844" ht="15.75" customHeight="1">
      <c r="G844" s="1"/>
      <c r="I844" s="1"/>
    </row>
    <row r="845" ht="15.75" customHeight="1">
      <c r="G845" s="1"/>
      <c r="I845" s="1"/>
    </row>
    <row r="846" ht="15.75" customHeight="1">
      <c r="G846" s="1"/>
      <c r="I846" s="1"/>
    </row>
    <row r="847" ht="15.75" customHeight="1">
      <c r="G847" s="1"/>
      <c r="I847" s="1"/>
    </row>
    <row r="848" ht="15.75" customHeight="1">
      <c r="G848" s="1"/>
      <c r="I848" s="1"/>
    </row>
    <row r="849" ht="15.75" customHeight="1">
      <c r="G849" s="1"/>
      <c r="I849" s="1"/>
    </row>
    <row r="850" ht="15.75" customHeight="1">
      <c r="G850" s="1"/>
      <c r="I850" s="1"/>
    </row>
    <row r="851" ht="15.75" customHeight="1">
      <c r="G851" s="1"/>
      <c r="I851" s="1"/>
    </row>
    <row r="852" ht="15.75" customHeight="1">
      <c r="G852" s="1"/>
      <c r="I852" s="1"/>
    </row>
    <row r="853" ht="15.75" customHeight="1">
      <c r="G853" s="1"/>
      <c r="I853" s="1"/>
    </row>
    <row r="854" ht="15.75" customHeight="1">
      <c r="G854" s="1"/>
      <c r="I854" s="1"/>
    </row>
    <row r="855" ht="15.75" customHeight="1">
      <c r="G855" s="1"/>
      <c r="I855" s="1"/>
    </row>
    <row r="856" ht="15.75" customHeight="1">
      <c r="G856" s="1"/>
      <c r="I856" s="1"/>
    </row>
    <row r="857" ht="15.75" customHeight="1">
      <c r="G857" s="1"/>
      <c r="I857" s="1"/>
    </row>
    <row r="858" ht="15.75" customHeight="1">
      <c r="G858" s="1"/>
      <c r="I858" s="1"/>
    </row>
    <row r="859" ht="15.75" customHeight="1">
      <c r="G859" s="1"/>
      <c r="I859" s="1"/>
    </row>
    <row r="860" ht="15.75" customHeight="1">
      <c r="G860" s="1"/>
      <c r="I860" s="1"/>
    </row>
    <row r="861" ht="15.75" customHeight="1">
      <c r="G861" s="1"/>
      <c r="I861" s="1"/>
    </row>
    <row r="862" ht="15.75" customHeight="1">
      <c r="G862" s="1"/>
      <c r="I862" s="1"/>
    </row>
    <row r="863" ht="15.75" customHeight="1">
      <c r="G863" s="1"/>
      <c r="I863" s="1"/>
    </row>
    <row r="864" ht="15.75" customHeight="1">
      <c r="G864" s="1"/>
      <c r="I864" s="1"/>
    </row>
    <row r="865" ht="15.75" customHeight="1">
      <c r="G865" s="1"/>
      <c r="I865" s="1"/>
    </row>
    <row r="866" ht="15.75" customHeight="1">
      <c r="G866" s="1"/>
      <c r="I866" s="1"/>
    </row>
    <row r="867" ht="15.75" customHeight="1">
      <c r="G867" s="1"/>
      <c r="I867" s="1"/>
    </row>
    <row r="868" ht="15.75" customHeight="1">
      <c r="G868" s="1"/>
      <c r="I868" s="1"/>
    </row>
    <row r="869" ht="15.75" customHeight="1">
      <c r="G869" s="1"/>
      <c r="I869" s="1"/>
    </row>
    <row r="870" ht="15.75" customHeight="1">
      <c r="G870" s="1"/>
      <c r="I870" s="1"/>
    </row>
    <row r="871" ht="15.75" customHeight="1">
      <c r="G871" s="1"/>
      <c r="I871" s="1"/>
    </row>
    <row r="872" ht="15.75" customHeight="1">
      <c r="G872" s="1"/>
      <c r="I872" s="1"/>
    </row>
    <row r="873" ht="15.75" customHeight="1">
      <c r="G873" s="1"/>
      <c r="I873" s="1"/>
    </row>
    <row r="874" ht="15.75" customHeight="1">
      <c r="G874" s="1"/>
      <c r="I874" s="1"/>
    </row>
    <row r="875" ht="15.75" customHeight="1">
      <c r="G875" s="1"/>
      <c r="I875" s="1"/>
    </row>
    <row r="876" ht="15.75" customHeight="1">
      <c r="G876" s="1"/>
      <c r="I876" s="1"/>
    </row>
    <row r="877" ht="15.75" customHeight="1">
      <c r="G877" s="1"/>
      <c r="I877" s="1"/>
    </row>
    <row r="878" ht="15.75" customHeight="1">
      <c r="G878" s="1"/>
      <c r="I878" s="1"/>
    </row>
    <row r="879" ht="15.75" customHeight="1">
      <c r="G879" s="1"/>
      <c r="I879" s="1"/>
    </row>
    <row r="880" ht="15.75" customHeight="1">
      <c r="G880" s="1"/>
      <c r="I880" s="1"/>
    </row>
    <row r="881" ht="15.75" customHeight="1">
      <c r="G881" s="1"/>
      <c r="I881" s="1"/>
    </row>
    <row r="882" ht="15.75" customHeight="1">
      <c r="G882" s="1"/>
      <c r="I882" s="1"/>
    </row>
    <row r="883" ht="15.75" customHeight="1">
      <c r="G883" s="1"/>
      <c r="I883" s="1"/>
    </row>
    <row r="884" ht="15.75" customHeight="1">
      <c r="G884" s="1"/>
      <c r="I884" s="1"/>
    </row>
    <row r="885" ht="15.75" customHeight="1">
      <c r="G885" s="1"/>
      <c r="I885" s="1"/>
    </row>
    <row r="886" ht="15.75" customHeight="1">
      <c r="G886" s="1"/>
      <c r="I886" s="1"/>
    </row>
    <row r="887" ht="15.75" customHeight="1">
      <c r="G887" s="1"/>
      <c r="I887" s="1"/>
    </row>
    <row r="888" ht="15.75" customHeight="1">
      <c r="G888" s="1"/>
      <c r="I888" s="1"/>
    </row>
    <row r="889" ht="15.75" customHeight="1">
      <c r="G889" s="1"/>
      <c r="I889" s="1"/>
    </row>
    <row r="890" ht="15.75" customHeight="1">
      <c r="G890" s="1"/>
      <c r="I890" s="1"/>
    </row>
    <row r="891" ht="15.75" customHeight="1">
      <c r="G891" s="1"/>
      <c r="I891" s="1"/>
    </row>
    <row r="892" ht="15.75" customHeight="1">
      <c r="G892" s="1"/>
      <c r="I892" s="1"/>
    </row>
    <row r="893" ht="15.75" customHeight="1">
      <c r="G893" s="1"/>
      <c r="I893" s="1"/>
    </row>
    <row r="894" ht="15.75" customHeight="1">
      <c r="G894" s="1"/>
      <c r="I894" s="1"/>
    </row>
    <row r="895" ht="15.75" customHeight="1">
      <c r="G895" s="1"/>
      <c r="I895" s="1"/>
    </row>
    <row r="896" ht="15.75" customHeight="1">
      <c r="G896" s="1"/>
      <c r="I896" s="1"/>
    </row>
    <row r="897" ht="15.75" customHeight="1">
      <c r="G897" s="1"/>
      <c r="I897" s="1"/>
    </row>
    <row r="898" ht="15.75" customHeight="1">
      <c r="G898" s="1"/>
      <c r="I898" s="1"/>
    </row>
    <row r="899" ht="15.75" customHeight="1">
      <c r="G899" s="1"/>
      <c r="I899" s="1"/>
    </row>
    <row r="900" ht="15.75" customHeight="1">
      <c r="G900" s="1"/>
      <c r="I900" s="1"/>
    </row>
    <row r="901" ht="15.75" customHeight="1">
      <c r="G901" s="1"/>
      <c r="I901" s="1"/>
    </row>
    <row r="902" ht="15.75" customHeight="1">
      <c r="G902" s="1"/>
      <c r="I902" s="1"/>
    </row>
    <row r="903" ht="15.75" customHeight="1">
      <c r="G903" s="1"/>
      <c r="I903" s="1"/>
    </row>
    <row r="904" ht="15.75" customHeight="1">
      <c r="G904" s="1"/>
      <c r="I904" s="1"/>
    </row>
    <row r="905" ht="15.75" customHeight="1">
      <c r="G905" s="1"/>
      <c r="I905" s="1"/>
    </row>
    <row r="906" ht="15.75" customHeight="1">
      <c r="G906" s="1"/>
      <c r="I906" s="1"/>
    </row>
    <row r="907" ht="15.75" customHeight="1">
      <c r="G907" s="1"/>
      <c r="I907" s="1"/>
    </row>
    <row r="908" ht="15.75" customHeight="1">
      <c r="G908" s="1"/>
      <c r="I908" s="1"/>
    </row>
    <row r="909" ht="15.75" customHeight="1">
      <c r="G909" s="1"/>
      <c r="I909" s="1"/>
    </row>
    <row r="910" ht="15.75" customHeight="1">
      <c r="G910" s="1"/>
      <c r="I910" s="1"/>
    </row>
    <row r="911" ht="15.75" customHeight="1">
      <c r="G911" s="1"/>
      <c r="I911" s="1"/>
    </row>
    <row r="912" ht="15.75" customHeight="1">
      <c r="G912" s="1"/>
      <c r="I912" s="1"/>
    </row>
    <row r="913" ht="15.75" customHeight="1">
      <c r="G913" s="1"/>
      <c r="I913" s="1"/>
    </row>
    <row r="914" ht="15.75" customHeight="1">
      <c r="G914" s="1"/>
      <c r="I914" s="1"/>
    </row>
    <row r="915" ht="15.75" customHeight="1">
      <c r="G915" s="1"/>
      <c r="I915" s="1"/>
    </row>
    <row r="916" ht="15.75" customHeight="1">
      <c r="G916" s="1"/>
      <c r="I916" s="1"/>
    </row>
    <row r="917" ht="15.75" customHeight="1">
      <c r="G917" s="1"/>
      <c r="I917" s="1"/>
    </row>
    <row r="918" ht="15.75" customHeight="1">
      <c r="G918" s="1"/>
      <c r="I918" s="1"/>
    </row>
    <row r="919" ht="15.75" customHeight="1">
      <c r="G919" s="1"/>
      <c r="I919" s="1"/>
    </row>
    <row r="920" ht="15.75" customHeight="1">
      <c r="G920" s="1"/>
      <c r="I920" s="1"/>
    </row>
    <row r="921" ht="15.75" customHeight="1">
      <c r="G921" s="1"/>
      <c r="I921" s="1"/>
    </row>
    <row r="922" ht="15.75" customHeight="1">
      <c r="G922" s="1"/>
      <c r="I922" s="1"/>
    </row>
    <row r="923" ht="15.75" customHeight="1">
      <c r="G923" s="1"/>
      <c r="I923" s="1"/>
    </row>
    <row r="924" ht="15.75" customHeight="1">
      <c r="G924" s="1"/>
      <c r="I924" s="1"/>
    </row>
    <row r="925" ht="15.75" customHeight="1">
      <c r="G925" s="1"/>
      <c r="I925" s="1"/>
    </row>
    <row r="926" ht="15.75" customHeight="1">
      <c r="G926" s="1"/>
      <c r="I926" s="1"/>
    </row>
    <row r="927" ht="15.75" customHeight="1">
      <c r="G927" s="1"/>
      <c r="I927" s="1"/>
    </row>
    <row r="928" ht="15.75" customHeight="1">
      <c r="G928" s="1"/>
      <c r="I928" s="1"/>
    </row>
    <row r="929" ht="15.75" customHeight="1">
      <c r="G929" s="1"/>
      <c r="I929" s="1"/>
    </row>
    <row r="930" ht="15.75" customHeight="1">
      <c r="G930" s="1"/>
      <c r="I930" s="1"/>
    </row>
    <row r="931" ht="15.75" customHeight="1">
      <c r="G931" s="1"/>
      <c r="I931" s="1"/>
    </row>
    <row r="932" ht="15.75" customHeight="1">
      <c r="G932" s="1"/>
      <c r="I932" s="1"/>
    </row>
    <row r="933" ht="15.75" customHeight="1">
      <c r="G933" s="1"/>
      <c r="I933" s="1"/>
    </row>
    <row r="934" ht="15.75" customHeight="1">
      <c r="G934" s="1"/>
      <c r="I934" s="1"/>
    </row>
    <row r="935" ht="15.75" customHeight="1">
      <c r="G935" s="1"/>
      <c r="I935" s="1"/>
    </row>
    <row r="936" ht="15.75" customHeight="1">
      <c r="G936" s="1"/>
      <c r="I936" s="1"/>
    </row>
    <row r="937" ht="15.75" customHeight="1">
      <c r="G937" s="1"/>
      <c r="I937" s="1"/>
    </row>
    <row r="938" ht="15.75" customHeight="1">
      <c r="G938" s="1"/>
      <c r="I938" s="1"/>
    </row>
    <row r="939" ht="15.75" customHeight="1">
      <c r="G939" s="1"/>
      <c r="I939" s="1"/>
    </row>
    <row r="940" ht="15.75" customHeight="1">
      <c r="G940" s="1"/>
      <c r="I940" s="1"/>
    </row>
    <row r="941" ht="15.75" customHeight="1">
      <c r="G941" s="1"/>
      <c r="I941" s="1"/>
    </row>
    <row r="942" ht="15.75" customHeight="1">
      <c r="G942" s="1"/>
      <c r="I942" s="1"/>
    </row>
    <row r="943" ht="15.75" customHeight="1">
      <c r="G943" s="1"/>
      <c r="I943" s="1"/>
    </row>
    <row r="944" ht="15.75" customHeight="1">
      <c r="G944" s="1"/>
      <c r="I944" s="1"/>
    </row>
    <row r="945" ht="15.75" customHeight="1">
      <c r="G945" s="1"/>
      <c r="I945" s="1"/>
    </row>
    <row r="946" ht="15.75" customHeight="1">
      <c r="G946" s="1"/>
      <c r="I946" s="1"/>
    </row>
    <row r="947" ht="15.75" customHeight="1">
      <c r="G947" s="1"/>
      <c r="I947" s="1"/>
    </row>
    <row r="948" ht="15.75" customHeight="1">
      <c r="G948" s="1"/>
      <c r="I948" s="1"/>
    </row>
    <row r="949" ht="15.75" customHeight="1">
      <c r="G949" s="1"/>
      <c r="I949" s="1"/>
    </row>
    <row r="950" ht="15.75" customHeight="1">
      <c r="G950" s="1"/>
      <c r="I950" s="1"/>
    </row>
    <row r="951" ht="15.75" customHeight="1">
      <c r="G951" s="1"/>
      <c r="I951" s="1"/>
    </row>
    <row r="952" ht="15.75" customHeight="1">
      <c r="G952" s="1"/>
      <c r="I952" s="1"/>
    </row>
    <row r="953" ht="15.75" customHeight="1">
      <c r="G953" s="1"/>
      <c r="I953" s="1"/>
    </row>
    <row r="954" ht="15.75" customHeight="1">
      <c r="G954" s="1"/>
      <c r="I954" s="1"/>
    </row>
    <row r="955" ht="15.75" customHeight="1">
      <c r="G955" s="1"/>
      <c r="I955" s="1"/>
    </row>
    <row r="956" ht="15.75" customHeight="1">
      <c r="G956" s="1"/>
      <c r="I956" s="1"/>
    </row>
    <row r="957" ht="15.75" customHeight="1">
      <c r="G957" s="1"/>
      <c r="I957" s="1"/>
    </row>
    <row r="958" ht="15.75" customHeight="1">
      <c r="G958" s="1"/>
      <c r="I958" s="1"/>
    </row>
    <row r="959" ht="15.75" customHeight="1">
      <c r="G959" s="1"/>
      <c r="I959" s="1"/>
    </row>
    <row r="960" ht="15.75" customHeight="1">
      <c r="G960" s="1"/>
      <c r="I960" s="1"/>
    </row>
    <row r="961" ht="15.75" customHeight="1">
      <c r="G961" s="1"/>
      <c r="I961" s="1"/>
    </row>
    <row r="962" ht="15.75" customHeight="1">
      <c r="G962" s="1"/>
      <c r="I962" s="1"/>
    </row>
    <row r="963" ht="15.75" customHeight="1">
      <c r="G963" s="1"/>
      <c r="I963" s="1"/>
    </row>
    <row r="964" ht="15.75" customHeight="1">
      <c r="G964" s="1"/>
      <c r="I964" s="1"/>
    </row>
    <row r="965" ht="15.75" customHeight="1">
      <c r="G965" s="1"/>
      <c r="I965" s="1"/>
    </row>
    <row r="966" ht="15.75" customHeight="1">
      <c r="G966" s="1"/>
      <c r="I966" s="1"/>
    </row>
    <row r="967" ht="15.75" customHeight="1">
      <c r="G967" s="1"/>
      <c r="I967" s="1"/>
    </row>
    <row r="968" ht="15.75" customHeight="1">
      <c r="G968" s="1"/>
      <c r="I968" s="1"/>
    </row>
    <row r="969" ht="15.75" customHeight="1">
      <c r="G969" s="1"/>
      <c r="I969" s="1"/>
    </row>
    <row r="970" ht="15.75" customHeight="1">
      <c r="G970" s="1"/>
      <c r="I970" s="1"/>
    </row>
    <row r="971" ht="15.75" customHeight="1">
      <c r="G971" s="1"/>
      <c r="I971" s="1"/>
    </row>
    <row r="972" ht="15.75" customHeight="1">
      <c r="G972" s="1"/>
      <c r="I972" s="1"/>
    </row>
    <row r="973" ht="15.75" customHeight="1">
      <c r="G973" s="1"/>
      <c r="I973" s="1"/>
    </row>
    <row r="974" ht="15.75" customHeight="1">
      <c r="G974" s="1"/>
      <c r="I974" s="1"/>
    </row>
    <row r="975" ht="15.75" customHeight="1">
      <c r="G975" s="1"/>
      <c r="I975" s="1"/>
    </row>
    <row r="976" ht="15.75" customHeight="1">
      <c r="G976" s="1"/>
      <c r="I976" s="1"/>
    </row>
    <row r="977" ht="15.75" customHeight="1">
      <c r="G977" s="1"/>
      <c r="I977" s="1"/>
    </row>
    <row r="978" ht="15.75" customHeight="1">
      <c r="G978" s="1"/>
      <c r="I978" s="1"/>
    </row>
    <row r="979" ht="15.75" customHeight="1">
      <c r="G979" s="1"/>
      <c r="I979" s="1"/>
    </row>
    <row r="980" ht="15.75" customHeight="1">
      <c r="G980" s="1"/>
      <c r="I980" s="1"/>
    </row>
    <row r="981" ht="15.75" customHeight="1">
      <c r="G981" s="1"/>
      <c r="I981" s="1"/>
    </row>
    <row r="982" ht="15.75" customHeight="1">
      <c r="G982" s="1"/>
      <c r="I982" s="1"/>
    </row>
    <row r="983" ht="15.75" customHeight="1">
      <c r="G983" s="1"/>
      <c r="I983" s="1"/>
    </row>
    <row r="984" ht="15.75" customHeight="1">
      <c r="G984" s="1"/>
      <c r="I984" s="1"/>
    </row>
    <row r="985" ht="15.75" customHeight="1">
      <c r="G985" s="1"/>
      <c r="I985" s="1"/>
    </row>
  </sheetData>
  <mergeCells count="5">
    <mergeCell ref="F2:G2"/>
    <mergeCell ref="H2:I2"/>
    <mergeCell ref="J2:K2"/>
    <mergeCell ref="P11:Q11"/>
    <mergeCell ref="P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38"/>
    <col customWidth="1" min="3" max="3" width="11.88"/>
    <col customWidth="1" min="4" max="4" width="15.88"/>
    <col customWidth="1" min="5" max="5" width="11.88"/>
    <col customWidth="1" min="6" max="6" width="13.88"/>
    <col customWidth="1" min="7" max="7" width="15.13"/>
    <col customWidth="1" min="8" max="10" width="11.88"/>
    <col customWidth="1" min="11" max="26" width="8.63"/>
  </cols>
  <sheetData>
    <row r="2">
      <c r="B2" s="33" t="s">
        <v>20</v>
      </c>
      <c r="C2" s="34"/>
      <c r="D2" s="34"/>
      <c r="E2" s="34"/>
      <c r="F2" s="34"/>
    </row>
    <row r="3">
      <c r="B3" s="35" t="s">
        <v>7</v>
      </c>
      <c r="C3" s="35" t="s">
        <v>12</v>
      </c>
      <c r="D3" s="35" t="s">
        <v>9</v>
      </c>
      <c r="E3" s="35" t="s">
        <v>11</v>
      </c>
      <c r="F3" s="35" t="s">
        <v>10</v>
      </c>
    </row>
    <row r="4">
      <c r="B4" s="36">
        <v>4.11</v>
      </c>
      <c r="C4" s="36">
        <v>5.25</v>
      </c>
      <c r="D4" s="36">
        <v>1.87</v>
      </c>
      <c r="E4" s="36">
        <v>9.02</v>
      </c>
      <c r="F4" s="36">
        <v>9.02</v>
      </c>
    </row>
    <row r="5">
      <c r="B5" s="36">
        <v>4.72</v>
      </c>
      <c r="C5" s="36">
        <v>8.72</v>
      </c>
      <c r="D5" s="36">
        <v>2.54</v>
      </c>
      <c r="E5" s="36">
        <v>9.02</v>
      </c>
      <c r="F5" s="36">
        <v>9.04</v>
      </c>
    </row>
    <row r="6">
      <c r="B6" s="36">
        <v>4.39</v>
      </c>
      <c r="C6" s="36">
        <v>5.45</v>
      </c>
      <c r="D6" s="36">
        <v>0.67</v>
      </c>
      <c r="E6" s="36">
        <v>9.03</v>
      </c>
      <c r="F6" s="36">
        <v>9.02</v>
      </c>
    </row>
    <row r="7">
      <c r="B7" s="36">
        <v>5.76</v>
      </c>
      <c r="C7" s="36">
        <v>4.41</v>
      </c>
      <c r="D7" s="36">
        <v>3.42</v>
      </c>
      <c r="E7" s="36">
        <v>9.03</v>
      </c>
      <c r="F7" s="36">
        <v>9.02</v>
      </c>
    </row>
    <row r="8">
      <c r="B8" s="36">
        <v>6.37</v>
      </c>
      <c r="C8" s="36">
        <v>4.6</v>
      </c>
      <c r="D8" s="36">
        <v>0.73</v>
      </c>
      <c r="E8" s="36">
        <v>9.02</v>
      </c>
      <c r="F8" s="36">
        <v>5.9</v>
      </c>
    </row>
    <row r="9">
      <c r="B9" s="36">
        <v>6.64</v>
      </c>
      <c r="C9" s="36">
        <v>2.62</v>
      </c>
      <c r="D9" s="36">
        <v>4.72</v>
      </c>
      <c r="E9" s="36">
        <v>9.02</v>
      </c>
      <c r="F9" s="36">
        <v>9.01</v>
      </c>
    </row>
    <row r="10">
      <c r="B10" s="36">
        <v>6.08</v>
      </c>
      <c r="C10" s="36">
        <v>5.24</v>
      </c>
      <c r="D10" s="36">
        <v>1.57</v>
      </c>
      <c r="E10" s="36">
        <v>8.63</v>
      </c>
      <c r="F10" s="36">
        <v>5.81</v>
      </c>
    </row>
    <row r="11">
      <c r="B11" s="36">
        <v>7.93</v>
      </c>
      <c r="C11" s="36">
        <v>5.2</v>
      </c>
      <c r="D11" s="36">
        <v>1.79</v>
      </c>
      <c r="E11" s="36">
        <v>9.03</v>
      </c>
      <c r="F11" s="36">
        <v>6.66</v>
      </c>
    </row>
    <row r="12">
      <c r="B12" s="36">
        <v>9.03</v>
      </c>
      <c r="C12" s="36">
        <v>5.55</v>
      </c>
      <c r="D12" s="36">
        <v>5.29</v>
      </c>
      <c r="E12" s="36">
        <v>8.54</v>
      </c>
      <c r="F12" s="36">
        <v>2.96</v>
      </c>
    </row>
    <row r="13">
      <c r="B13" s="36">
        <v>9.0</v>
      </c>
      <c r="C13" s="36">
        <v>4.44</v>
      </c>
      <c r="D13" s="36">
        <v>1.05</v>
      </c>
      <c r="E13" s="36">
        <v>9.01</v>
      </c>
      <c r="F13" s="36">
        <v>8.13</v>
      </c>
    </row>
    <row r="14">
      <c r="B14" s="36">
        <v>5.08</v>
      </c>
      <c r="C14" s="36">
        <v>5.1</v>
      </c>
      <c r="D14" s="36">
        <v>2.7</v>
      </c>
      <c r="E14" s="36">
        <v>8.37</v>
      </c>
      <c r="F14" s="36">
        <v>9.01</v>
      </c>
    </row>
    <row r="15">
      <c r="B15" s="36">
        <v>8.76</v>
      </c>
      <c r="C15" s="36">
        <v>6.04</v>
      </c>
      <c r="D15" s="36">
        <v>0.85</v>
      </c>
      <c r="E15" s="36">
        <v>9.02</v>
      </c>
      <c r="F15" s="36">
        <v>9.03</v>
      </c>
    </row>
    <row r="16">
      <c r="B16" s="36">
        <v>7.12</v>
      </c>
      <c r="C16" s="36">
        <v>6.2</v>
      </c>
      <c r="D16" s="36">
        <v>0.53</v>
      </c>
      <c r="E16" s="36">
        <v>9.01</v>
      </c>
      <c r="F16" s="36">
        <v>2.12</v>
      </c>
    </row>
    <row r="17">
      <c r="B17" s="36">
        <v>8.89</v>
      </c>
      <c r="C17" s="36">
        <v>5.25</v>
      </c>
      <c r="D17" s="36">
        <v>7.87</v>
      </c>
      <c r="E17" s="36">
        <v>7.11</v>
      </c>
      <c r="F17" s="36">
        <v>3.36</v>
      </c>
    </row>
    <row r="18">
      <c r="B18" s="36">
        <v>-0.02</v>
      </c>
      <c r="C18" s="36">
        <v>5.58</v>
      </c>
      <c r="D18" s="36">
        <v>1.12</v>
      </c>
      <c r="E18" s="36">
        <v>9.02</v>
      </c>
      <c r="F18" s="36">
        <v>4.03</v>
      </c>
    </row>
    <row r="19">
      <c r="B19" s="36">
        <v>5.46</v>
      </c>
      <c r="C19" s="36">
        <v>5.1</v>
      </c>
      <c r="D19" s="36">
        <v>3.74</v>
      </c>
      <c r="E19" s="36">
        <v>8.06</v>
      </c>
      <c r="F19" s="36">
        <v>8.98</v>
      </c>
    </row>
    <row r="20">
      <c r="B20" s="36">
        <v>5.62</v>
      </c>
      <c r="C20" s="36">
        <v>5.59</v>
      </c>
      <c r="D20" s="36">
        <v>1.07</v>
      </c>
      <c r="E20" s="36">
        <v>9.01</v>
      </c>
      <c r="F20" s="36">
        <v>1.59</v>
      </c>
    </row>
    <row r="21" ht="15.75" customHeight="1">
      <c r="B21" s="36">
        <v>3.94</v>
      </c>
      <c r="C21" s="36">
        <v>6.5</v>
      </c>
      <c r="D21" s="36">
        <v>1.14</v>
      </c>
      <c r="E21" s="36">
        <v>9.0</v>
      </c>
      <c r="F21" s="36">
        <v>9.0</v>
      </c>
    </row>
    <row r="22" ht="15.75" customHeight="1">
      <c r="B22" s="36">
        <v>4.08</v>
      </c>
      <c r="C22" s="36">
        <v>6.27</v>
      </c>
      <c r="D22" s="36">
        <v>0.77</v>
      </c>
      <c r="E22" s="36">
        <v>9.01</v>
      </c>
      <c r="F22" s="36">
        <v>9.01</v>
      </c>
    </row>
    <row r="23" ht="15.75" customHeight="1">
      <c r="B23" s="36">
        <v>-0.12</v>
      </c>
      <c r="C23" s="36">
        <v>2.82</v>
      </c>
      <c r="D23" s="36">
        <v>-0.13</v>
      </c>
      <c r="E23" s="36">
        <v>9.02</v>
      </c>
      <c r="F23" s="36">
        <v>2.82</v>
      </c>
    </row>
    <row r="24" ht="15.75" customHeight="1">
      <c r="B24" s="36">
        <v>7.36</v>
      </c>
      <c r="C24" s="36">
        <v>6.63</v>
      </c>
      <c r="D24" s="36">
        <v>2.19</v>
      </c>
      <c r="E24" s="36">
        <v>9.0</v>
      </c>
      <c r="F24" s="36">
        <v>9.02</v>
      </c>
    </row>
    <row r="25" ht="15.75" customHeight="1">
      <c r="B25" s="36">
        <v>7.63</v>
      </c>
      <c r="C25" s="36">
        <v>6.46</v>
      </c>
      <c r="D25" s="36">
        <v>-0.19</v>
      </c>
      <c r="E25" s="36">
        <v>9.01</v>
      </c>
      <c r="F25" s="36">
        <v>9.02</v>
      </c>
    </row>
    <row r="26" ht="15.75" customHeight="1">
      <c r="B26" s="36">
        <v>5.4</v>
      </c>
      <c r="C26" s="36">
        <v>5.23</v>
      </c>
      <c r="D26" s="36">
        <v>2.2</v>
      </c>
      <c r="E26" s="36">
        <v>9.02</v>
      </c>
      <c r="F26" s="36">
        <v>7.25</v>
      </c>
    </row>
    <row r="27" ht="15.75" customHeight="1">
      <c r="B27" s="36">
        <v>6.0</v>
      </c>
      <c r="C27" s="36">
        <v>4.46</v>
      </c>
      <c r="D27" s="36">
        <v>0.97</v>
      </c>
      <c r="E27" s="36">
        <v>9.01</v>
      </c>
      <c r="F27" s="36">
        <v>9.03</v>
      </c>
    </row>
    <row r="28" ht="15.75" customHeight="1">
      <c r="B28" s="36">
        <v>5.01</v>
      </c>
      <c r="C28" s="36">
        <v>2.18</v>
      </c>
      <c r="D28" s="36">
        <v>0.68</v>
      </c>
      <c r="E28" s="36">
        <v>8.59</v>
      </c>
      <c r="F28" s="36">
        <v>9.03</v>
      </c>
    </row>
    <row r="29" ht="15.75" customHeight="1">
      <c r="B29" s="36">
        <v>4.51</v>
      </c>
      <c r="C29" s="36">
        <v>5.15</v>
      </c>
      <c r="D29" s="36">
        <v>3.98</v>
      </c>
      <c r="E29" s="36">
        <v>9.0</v>
      </c>
      <c r="F29" s="36">
        <v>4.74</v>
      </c>
    </row>
    <row r="30" ht="15.75" customHeight="1">
      <c r="B30" s="36">
        <v>9.01</v>
      </c>
      <c r="C30" s="36">
        <v>5.67</v>
      </c>
      <c r="D30" s="36">
        <v>1.6</v>
      </c>
      <c r="E30" s="36">
        <v>9.02</v>
      </c>
      <c r="F30" s="36">
        <v>7.28</v>
      </c>
    </row>
    <row r="31" ht="15.75" customHeight="1">
      <c r="B31" s="36">
        <v>5.16</v>
      </c>
      <c r="C31" s="36">
        <v>1.82</v>
      </c>
      <c r="D31" s="36">
        <v>1.28</v>
      </c>
      <c r="E31" s="36">
        <v>9.02</v>
      </c>
      <c r="F31" s="36">
        <v>2.45</v>
      </c>
    </row>
    <row r="32" ht="15.75" customHeight="1">
      <c r="B32" s="36">
        <v>7.64</v>
      </c>
      <c r="C32" s="36">
        <v>6.67</v>
      </c>
      <c r="D32" s="36">
        <v>1.77</v>
      </c>
      <c r="E32" s="36">
        <v>9.01</v>
      </c>
      <c r="F32" s="36">
        <v>2.04</v>
      </c>
    </row>
    <row r="33" ht="15.75" customHeight="1">
      <c r="B33" s="36">
        <v>9.03</v>
      </c>
      <c r="C33" s="36">
        <v>5.01</v>
      </c>
      <c r="D33" s="36">
        <v>1.95</v>
      </c>
      <c r="E33" s="36">
        <v>9.0</v>
      </c>
      <c r="F33" s="36">
        <v>8.0</v>
      </c>
    </row>
    <row r="34" ht="15.75" customHeight="1">
      <c r="B34" s="36">
        <v>1.88</v>
      </c>
      <c r="C34" s="36">
        <v>6.45</v>
      </c>
      <c r="D34" s="36">
        <v>4.9</v>
      </c>
      <c r="E34" s="36">
        <v>9.01</v>
      </c>
      <c r="F34" s="36">
        <v>1.06</v>
      </c>
    </row>
    <row r="35" ht="15.75" customHeight="1">
      <c r="B35" s="36">
        <v>4.28</v>
      </c>
      <c r="C35" s="36">
        <v>4.92</v>
      </c>
      <c r="D35" s="36">
        <v>6.7</v>
      </c>
      <c r="E35" s="36">
        <v>9.02</v>
      </c>
      <c r="F35" s="36">
        <v>6.32</v>
      </c>
    </row>
    <row r="36" ht="15.75" customHeight="1">
      <c r="B36" s="36">
        <v>5.56</v>
      </c>
      <c r="C36" s="36">
        <v>4.37</v>
      </c>
      <c r="D36" s="36">
        <v>4.77</v>
      </c>
      <c r="E36" s="36">
        <v>9.02</v>
      </c>
      <c r="F36" s="36">
        <v>4.32</v>
      </c>
    </row>
    <row r="37" ht="15.75" customHeight="1">
      <c r="B37" s="36">
        <v>9.02</v>
      </c>
      <c r="C37" s="36">
        <v>5.56</v>
      </c>
      <c r="D37" s="36">
        <v>2.22</v>
      </c>
      <c r="E37" s="36">
        <v>9.03</v>
      </c>
      <c r="F37" s="36">
        <v>9.0</v>
      </c>
    </row>
    <row r="38" ht="15.75" customHeight="1">
      <c r="B38" s="36">
        <v>9.02</v>
      </c>
      <c r="C38" s="36">
        <v>4.93</v>
      </c>
      <c r="D38" s="36">
        <v>1.76</v>
      </c>
      <c r="E38" s="36">
        <v>9.02</v>
      </c>
      <c r="F38" s="36">
        <v>4.66</v>
      </c>
    </row>
    <row r="39" ht="15.75" customHeight="1">
      <c r="B39" s="36">
        <v>5.91</v>
      </c>
      <c r="C39" s="36">
        <v>5.87</v>
      </c>
      <c r="D39" s="36">
        <v>2.39</v>
      </c>
      <c r="E39" s="36">
        <v>9.04</v>
      </c>
      <c r="F39" s="36">
        <v>9.03</v>
      </c>
    </row>
    <row r="40" ht="15.75" customHeight="1">
      <c r="B40" s="36">
        <v>2.29</v>
      </c>
      <c r="C40" s="36">
        <v>3.83</v>
      </c>
      <c r="D40" s="36">
        <v>2.64</v>
      </c>
      <c r="E40" s="36">
        <v>9.02</v>
      </c>
      <c r="F40" s="36">
        <v>9.01</v>
      </c>
    </row>
    <row r="41" ht="15.75" customHeight="1">
      <c r="B41" s="36">
        <v>8.57</v>
      </c>
      <c r="C41" s="36">
        <v>0.8</v>
      </c>
      <c r="D41" s="36">
        <v>1.65</v>
      </c>
      <c r="E41" s="36">
        <v>9.05</v>
      </c>
      <c r="F41" s="36">
        <v>9.02</v>
      </c>
    </row>
    <row r="42" ht="15.75" customHeight="1">
      <c r="B42" s="36">
        <v>9.02</v>
      </c>
      <c r="C42" s="36">
        <v>5.55</v>
      </c>
      <c r="D42" s="36">
        <v>4.16</v>
      </c>
      <c r="E42" s="36">
        <v>9.04</v>
      </c>
      <c r="F42" s="36">
        <v>2.43</v>
      </c>
    </row>
    <row r="43" ht="15.75" customHeight="1">
      <c r="B43" s="36">
        <v>5.59</v>
      </c>
      <c r="C43" s="36">
        <v>5.65</v>
      </c>
      <c r="D43" s="36">
        <v>1.11</v>
      </c>
      <c r="E43" s="36">
        <v>9.02</v>
      </c>
      <c r="F43" s="36">
        <v>4.78</v>
      </c>
    </row>
    <row r="44" ht="15.75" customHeight="1">
      <c r="B44" s="36">
        <v>0.02</v>
      </c>
      <c r="C44" s="36">
        <v>5.0</v>
      </c>
      <c r="D44" s="36">
        <v>2.69</v>
      </c>
      <c r="E44" s="36">
        <v>9.02</v>
      </c>
      <c r="F44" s="36">
        <v>9.03</v>
      </c>
    </row>
    <row r="45" ht="15.75" customHeight="1">
      <c r="B45" s="36">
        <v>4.49</v>
      </c>
      <c r="C45" s="36">
        <v>6.28</v>
      </c>
      <c r="D45" s="36">
        <v>4.89</v>
      </c>
      <c r="E45" s="36">
        <v>9.02</v>
      </c>
      <c r="F45" s="36">
        <v>1.23</v>
      </c>
    </row>
    <row r="46" ht="15.75" customHeight="1">
      <c r="B46" s="36">
        <v>5.78</v>
      </c>
      <c r="C46" s="36">
        <v>5.91</v>
      </c>
      <c r="D46" s="36">
        <v>1.16</v>
      </c>
      <c r="E46" s="36">
        <v>9.0</v>
      </c>
      <c r="F46" s="36">
        <v>8.83</v>
      </c>
    </row>
    <row r="47" ht="15.75" customHeight="1">
      <c r="B47" s="36">
        <v>8.03</v>
      </c>
      <c r="C47" s="36">
        <v>6.96</v>
      </c>
      <c r="D47" s="36">
        <v>1.05</v>
      </c>
      <c r="E47" s="36">
        <v>9.03</v>
      </c>
      <c r="F47" s="36">
        <v>3.98</v>
      </c>
    </row>
    <row r="48" ht="15.75" customHeight="1">
      <c r="B48" s="36">
        <v>4.45</v>
      </c>
      <c r="C48" s="36">
        <v>3.51</v>
      </c>
      <c r="D48" s="36">
        <v>2.21</v>
      </c>
      <c r="E48" s="36">
        <v>8.77</v>
      </c>
      <c r="F48" s="36">
        <v>9.01</v>
      </c>
    </row>
    <row r="49" ht="15.75" customHeight="1">
      <c r="B49" s="36">
        <v>1.57</v>
      </c>
      <c r="C49" s="36">
        <v>5.36</v>
      </c>
      <c r="D49" s="36">
        <v>0.03</v>
      </c>
      <c r="E49" s="36">
        <v>9.03</v>
      </c>
      <c r="F49" s="36">
        <v>1.28</v>
      </c>
    </row>
    <row r="50" ht="15.75" customHeight="1">
      <c r="B50" s="36">
        <v>9.01</v>
      </c>
      <c r="C50" s="36">
        <v>6.03</v>
      </c>
      <c r="D50" s="36">
        <v>7.43</v>
      </c>
      <c r="E50" s="36">
        <v>9.0</v>
      </c>
      <c r="F50" s="36">
        <v>0.97</v>
      </c>
    </row>
    <row r="51" ht="15.75" customHeight="1">
      <c r="B51" s="36">
        <v>8.88</v>
      </c>
      <c r="C51" s="36">
        <v>6.2</v>
      </c>
      <c r="D51" s="36">
        <v>2.57</v>
      </c>
      <c r="E51" s="36">
        <v>9.03</v>
      </c>
      <c r="F51" s="36">
        <v>8.36</v>
      </c>
    </row>
    <row r="52" ht="15.75" customHeight="1">
      <c r="B52" s="36">
        <v>9.03</v>
      </c>
      <c r="C52" s="36">
        <v>5.07</v>
      </c>
      <c r="D52" s="36">
        <v>3.26</v>
      </c>
      <c r="E52" s="36">
        <v>9.01</v>
      </c>
      <c r="F52" s="36">
        <v>5.47</v>
      </c>
    </row>
    <row r="53" ht="15.75" customHeight="1">
      <c r="B53" s="36">
        <v>5.8</v>
      </c>
      <c r="C53" s="36">
        <v>4.4</v>
      </c>
      <c r="D53" s="36">
        <v>0.94</v>
      </c>
      <c r="E53" s="36">
        <v>9.02</v>
      </c>
      <c r="F53" s="36">
        <v>9.01</v>
      </c>
    </row>
    <row r="54" ht="15.75" customHeight="1">
      <c r="B54" s="36">
        <v>9.04</v>
      </c>
      <c r="C54" s="36">
        <v>5.69</v>
      </c>
      <c r="D54" s="36">
        <v>4.5</v>
      </c>
      <c r="E54" s="36">
        <v>9.01</v>
      </c>
      <c r="F54" s="36">
        <v>4.92</v>
      </c>
    </row>
    <row r="55" ht="15.75" customHeight="1">
      <c r="B55" s="36">
        <v>9.0</v>
      </c>
      <c r="C55" s="36">
        <v>5.59</v>
      </c>
      <c r="D55" s="36">
        <v>1.93</v>
      </c>
      <c r="E55" s="36">
        <v>9.0</v>
      </c>
      <c r="F55" s="36">
        <v>4.06</v>
      </c>
    </row>
    <row r="56" ht="15.75" customHeight="1">
      <c r="B56" s="36">
        <v>7.19</v>
      </c>
      <c r="C56" s="36">
        <v>5.56</v>
      </c>
      <c r="D56" s="36">
        <v>2.38</v>
      </c>
      <c r="E56" s="36">
        <v>9.01</v>
      </c>
      <c r="F56" s="36">
        <v>4.86</v>
      </c>
    </row>
    <row r="57" ht="15.75" customHeight="1">
      <c r="B57" s="36">
        <v>5.17</v>
      </c>
      <c r="C57" s="36">
        <v>4.33</v>
      </c>
      <c r="D57" s="36">
        <v>0.38</v>
      </c>
      <c r="E57" s="36">
        <v>9.03</v>
      </c>
      <c r="F57" s="36">
        <v>8.64</v>
      </c>
    </row>
    <row r="58" ht="15.75" customHeight="1">
      <c r="B58" s="36">
        <v>4.67</v>
      </c>
      <c r="C58" s="36">
        <v>6.24</v>
      </c>
      <c r="D58" s="36">
        <v>1.93</v>
      </c>
      <c r="E58" s="36">
        <v>9.01</v>
      </c>
      <c r="F58" s="36">
        <v>9.02</v>
      </c>
    </row>
    <row r="59" ht="15.75" customHeight="1">
      <c r="B59" s="36">
        <v>9.03</v>
      </c>
      <c r="C59" s="36">
        <v>4.36</v>
      </c>
      <c r="D59" s="36">
        <v>2.74</v>
      </c>
      <c r="E59" s="36">
        <v>9.03</v>
      </c>
      <c r="F59" s="36">
        <v>9.03</v>
      </c>
    </row>
    <row r="60" ht="15.75" customHeight="1">
      <c r="B60" s="36">
        <v>9.01</v>
      </c>
      <c r="C60" s="36">
        <v>3.76</v>
      </c>
      <c r="D60" s="36">
        <v>1.16</v>
      </c>
      <c r="E60" s="36">
        <v>8.58</v>
      </c>
      <c r="F60" s="36">
        <v>9.02</v>
      </c>
    </row>
    <row r="61" ht="15.75" customHeight="1">
      <c r="B61" s="36">
        <v>5.17</v>
      </c>
      <c r="C61" s="36">
        <v>7.08</v>
      </c>
      <c r="D61" s="36">
        <v>1.69</v>
      </c>
      <c r="E61" s="36">
        <v>8.86</v>
      </c>
      <c r="F61" s="36">
        <v>3.11</v>
      </c>
    </row>
    <row r="62" ht="15.75" customHeight="1">
      <c r="B62" s="36">
        <v>9.01</v>
      </c>
      <c r="C62" s="36">
        <v>6.81</v>
      </c>
      <c r="D62" s="36">
        <v>1.65</v>
      </c>
      <c r="E62" s="36">
        <v>9.01</v>
      </c>
      <c r="F62" s="36">
        <v>1.26</v>
      </c>
    </row>
    <row r="63" ht="15.75" customHeight="1">
      <c r="B63" s="36">
        <v>6.59</v>
      </c>
      <c r="C63" s="36">
        <v>5.34</v>
      </c>
      <c r="D63" s="36">
        <v>4.44</v>
      </c>
      <c r="E63" s="36">
        <v>9.03</v>
      </c>
      <c r="F63" s="36">
        <v>9.02</v>
      </c>
    </row>
    <row r="64" ht="15.75" customHeight="1">
      <c r="B64" s="36">
        <v>1.6</v>
      </c>
      <c r="C64" s="36">
        <v>0.96</v>
      </c>
      <c r="D64" s="36">
        <v>1.66</v>
      </c>
      <c r="E64" s="36">
        <v>9.0</v>
      </c>
      <c r="F64" s="36">
        <v>3.08</v>
      </c>
    </row>
    <row r="65" ht="15.75" customHeight="1">
      <c r="B65" s="36">
        <v>9.0</v>
      </c>
      <c r="C65" s="36">
        <v>2.06</v>
      </c>
      <c r="D65" s="36">
        <v>2.48</v>
      </c>
      <c r="E65" s="36">
        <v>9.02</v>
      </c>
      <c r="F65" s="36">
        <v>5.9</v>
      </c>
    </row>
    <row r="66" ht="15.75" customHeight="1">
      <c r="B66" s="36">
        <v>5.15</v>
      </c>
      <c r="C66" s="36">
        <v>2.09</v>
      </c>
      <c r="D66" s="36">
        <v>2.36</v>
      </c>
      <c r="E66" s="36">
        <v>8.68</v>
      </c>
      <c r="F66" s="36">
        <v>1.31</v>
      </c>
    </row>
    <row r="67" ht="15.75" customHeight="1">
      <c r="B67" s="36">
        <v>6.39</v>
      </c>
      <c r="C67" s="36">
        <v>5.02</v>
      </c>
      <c r="D67" s="36">
        <v>1.69</v>
      </c>
      <c r="E67" s="36">
        <v>9.01</v>
      </c>
      <c r="F67" s="36">
        <v>3.48</v>
      </c>
    </row>
    <row r="68" ht="15.75" customHeight="1">
      <c r="B68" s="36">
        <v>8.07</v>
      </c>
      <c r="C68" s="36">
        <v>5.58</v>
      </c>
      <c r="D68" s="36">
        <v>2.06</v>
      </c>
      <c r="E68" s="36">
        <v>9.0</v>
      </c>
      <c r="F68" s="36">
        <v>4.57</v>
      </c>
    </row>
    <row r="69" ht="15.75" customHeight="1">
      <c r="B69" s="36">
        <v>9.01</v>
      </c>
      <c r="C69" s="36">
        <v>4.0</v>
      </c>
      <c r="D69" s="36">
        <v>3.11</v>
      </c>
      <c r="E69" s="36">
        <v>9.03</v>
      </c>
      <c r="F69" s="36">
        <v>6.53</v>
      </c>
    </row>
    <row r="70" ht="15.75" customHeight="1">
      <c r="B70" s="36">
        <v>5.58</v>
      </c>
      <c r="C70" s="36">
        <v>6.0</v>
      </c>
      <c r="D70" s="36">
        <v>3.28</v>
      </c>
      <c r="E70" s="36">
        <v>8.87</v>
      </c>
      <c r="F70" s="36">
        <v>6.39</v>
      </c>
    </row>
    <row r="71" ht="15.75" customHeight="1">
      <c r="B71" s="36">
        <v>8.47</v>
      </c>
      <c r="C71" s="36">
        <v>4.26</v>
      </c>
      <c r="D71" s="36">
        <v>7.13</v>
      </c>
      <c r="E71" s="36">
        <v>6.17</v>
      </c>
      <c r="F71" s="36">
        <v>2.0</v>
      </c>
    </row>
    <row r="72" ht="15.75" customHeight="1">
      <c r="B72" s="36">
        <v>8.48</v>
      </c>
      <c r="C72" s="36">
        <v>4.29</v>
      </c>
      <c r="D72" s="36">
        <v>2.02</v>
      </c>
      <c r="E72" s="36">
        <v>9.01</v>
      </c>
      <c r="F72" s="36">
        <v>5.21</v>
      </c>
    </row>
    <row r="73" ht="15.75" customHeight="1">
      <c r="B73" s="36">
        <v>5.38</v>
      </c>
      <c r="C73" s="36">
        <v>4.36</v>
      </c>
      <c r="D73" s="36">
        <v>4.09</v>
      </c>
      <c r="E73" s="36">
        <v>9.0</v>
      </c>
      <c r="F73" s="36">
        <v>3.01</v>
      </c>
    </row>
    <row r="74" ht="15.75" customHeight="1">
      <c r="B74" s="36">
        <v>3.19</v>
      </c>
      <c r="C74" s="36">
        <v>6.2</v>
      </c>
      <c r="D74" s="36">
        <v>3.04</v>
      </c>
      <c r="E74" s="36">
        <v>7.32</v>
      </c>
      <c r="F74" s="36">
        <v>9.01</v>
      </c>
    </row>
    <row r="75" ht="15.75" customHeight="1">
      <c r="B75" s="36">
        <v>5.67</v>
      </c>
      <c r="C75" s="36">
        <v>5.16</v>
      </c>
      <c r="D75" s="36">
        <v>3.56</v>
      </c>
      <c r="E75" s="36">
        <v>9.01</v>
      </c>
      <c r="F75" s="36">
        <v>2.03</v>
      </c>
    </row>
    <row r="76" ht="15.75" customHeight="1">
      <c r="B76" s="36">
        <v>7.65</v>
      </c>
      <c r="C76" s="36">
        <v>4.63</v>
      </c>
      <c r="D76" s="36">
        <v>3.71</v>
      </c>
      <c r="E76" s="36">
        <v>9.01</v>
      </c>
      <c r="F76" s="36">
        <v>3.58</v>
      </c>
    </row>
    <row r="77" ht="15.75" customHeight="1">
      <c r="B77" s="36">
        <v>4.83</v>
      </c>
      <c r="C77" s="36">
        <v>6.28</v>
      </c>
      <c r="D77" s="36">
        <v>1.95</v>
      </c>
      <c r="E77" s="36">
        <v>9.03</v>
      </c>
      <c r="F77" s="36">
        <v>9.0</v>
      </c>
    </row>
    <row r="78" ht="15.75" customHeight="1">
      <c r="B78" s="36">
        <v>9.01</v>
      </c>
      <c r="C78" s="36">
        <v>4.15</v>
      </c>
      <c r="D78" s="36">
        <v>2.01</v>
      </c>
      <c r="E78" s="36">
        <v>8.34</v>
      </c>
      <c r="F78" s="36">
        <v>0.97</v>
      </c>
    </row>
    <row r="79" ht="15.75" customHeight="1">
      <c r="B79" s="36">
        <v>8.82</v>
      </c>
      <c r="C79" s="36">
        <v>2.03</v>
      </c>
      <c r="D79" s="36">
        <v>3.32</v>
      </c>
      <c r="E79" s="36">
        <v>9.06</v>
      </c>
      <c r="F79" s="36">
        <v>6.91</v>
      </c>
    </row>
    <row r="80" ht="15.75" customHeight="1">
      <c r="B80" s="36">
        <v>6.05</v>
      </c>
      <c r="C80" s="36">
        <v>1.53</v>
      </c>
      <c r="D80" s="36">
        <v>2.96</v>
      </c>
      <c r="E80" s="36">
        <v>9.0</v>
      </c>
      <c r="F80" s="36">
        <v>9.03</v>
      </c>
    </row>
    <row r="81" ht="15.75" customHeight="1">
      <c r="B81" s="36">
        <v>3.28</v>
      </c>
      <c r="C81" s="36">
        <v>6.07</v>
      </c>
      <c r="D81" s="36">
        <v>2.86</v>
      </c>
      <c r="E81" s="36">
        <v>9.0</v>
      </c>
      <c r="F81" s="36">
        <v>4.11</v>
      </c>
    </row>
    <row r="82" ht="15.75" customHeight="1">
      <c r="B82" s="36">
        <v>9.04</v>
      </c>
      <c r="C82" s="36">
        <v>5.13</v>
      </c>
      <c r="D82" s="36">
        <v>1.58</v>
      </c>
      <c r="E82" s="36">
        <v>7.82</v>
      </c>
      <c r="F82" s="36">
        <v>6.18</v>
      </c>
    </row>
    <row r="83" ht="15.75" customHeight="1">
      <c r="B83" s="36">
        <v>9.01</v>
      </c>
      <c r="C83" s="36">
        <v>3.53</v>
      </c>
      <c r="D83" s="36">
        <v>1.78</v>
      </c>
      <c r="E83" s="36">
        <v>5.21</v>
      </c>
      <c r="F83" s="36">
        <v>8.39</v>
      </c>
    </row>
    <row r="84" ht="15.75" customHeight="1">
      <c r="B84" s="36">
        <v>1.5</v>
      </c>
      <c r="C84" s="36">
        <v>4.73</v>
      </c>
      <c r="D84" s="36">
        <v>1.64</v>
      </c>
      <c r="E84" s="36">
        <v>9.03</v>
      </c>
      <c r="F84" s="36">
        <v>9.03</v>
      </c>
    </row>
    <row r="85" ht="15.75" customHeight="1">
      <c r="B85" s="36">
        <v>4.36</v>
      </c>
      <c r="C85" s="36">
        <v>4.98</v>
      </c>
      <c r="D85" s="36">
        <v>3.46</v>
      </c>
      <c r="E85" s="36">
        <v>9.01</v>
      </c>
      <c r="F85" s="36">
        <v>1.73</v>
      </c>
    </row>
    <row r="86" ht="15.75" customHeight="1">
      <c r="B86" s="36">
        <v>8.64</v>
      </c>
      <c r="C86" s="36">
        <v>4.41</v>
      </c>
      <c r="D86" s="36">
        <v>2.65</v>
      </c>
      <c r="E86" s="36">
        <v>9.01</v>
      </c>
      <c r="F86" s="36">
        <v>3.75</v>
      </c>
    </row>
    <row r="87" ht="15.75" customHeight="1">
      <c r="B87" s="36">
        <v>1.8</v>
      </c>
      <c r="C87" s="36">
        <v>4.39</v>
      </c>
      <c r="D87" s="36">
        <v>1.98</v>
      </c>
      <c r="E87" s="36">
        <v>9.03</v>
      </c>
      <c r="F87" s="36">
        <v>1.29</v>
      </c>
    </row>
    <row r="88" ht="15.75" customHeight="1">
      <c r="B88" s="36">
        <v>8.71</v>
      </c>
      <c r="C88" s="36">
        <v>6.6</v>
      </c>
      <c r="D88" s="36">
        <v>1.45</v>
      </c>
      <c r="E88" s="36">
        <v>9.02</v>
      </c>
      <c r="F88" s="36">
        <v>9.01</v>
      </c>
    </row>
    <row r="89" ht="15.75" customHeight="1">
      <c r="B89" s="36">
        <v>7.71</v>
      </c>
      <c r="C89" s="36">
        <v>9.01</v>
      </c>
      <c r="D89" s="36">
        <v>3.93</v>
      </c>
      <c r="E89" s="36">
        <v>9.01</v>
      </c>
      <c r="F89" s="36">
        <v>4.21</v>
      </c>
    </row>
    <row r="90" ht="15.75" customHeight="1">
      <c r="B90" s="36">
        <v>1.56</v>
      </c>
      <c r="C90" s="36">
        <v>6.84</v>
      </c>
      <c r="D90" s="36">
        <v>2.19</v>
      </c>
      <c r="E90" s="36">
        <v>9.04</v>
      </c>
      <c r="F90" s="36">
        <v>8.6</v>
      </c>
    </row>
    <row r="91" ht="15.75" customHeight="1">
      <c r="B91" s="36">
        <v>-0.18</v>
      </c>
      <c r="C91" s="36">
        <v>6.1</v>
      </c>
      <c r="D91" s="36">
        <v>3.66</v>
      </c>
      <c r="E91" s="36">
        <v>9.01</v>
      </c>
      <c r="F91" s="36">
        <v>9.02</v>
      </c>
    </row>
    <row r="92" ht="15.75" customHeight="1">
      <c r="B92" s="36">
        <v>4.31</v>
      </c>
      <c r="C92" s="36">
        <v>5.71</v>
      </c>
      <c r="D92" s="36">
        <v>2.25</v>
      </c>
      <c r="E92" s="36">
        <v>9.0</v>
      </c>
      <c r="F92" s="36">
        <v>9.01</v>
      </c>
    </row>
    <row r="93" ht="15.75" customHeight="1">
      <c r="B93" s="36">
        <v>6.62</v>
      </c>
      <c r="C93" s="36">
        <v>5.99</v>
      </c>
      <c r="D93" s="36">
        <v>3.04</v>
      </c>
      <c r="E93" s="36">
        <v>9.03</v>
      </c>
      <c r="F93" s="36">
        <v>9.0</v>
      </c>
    </row>
    <row r="94" ht="15.75" customHeight="1">
      <c r="B94" s="36">
        <v>4.84</v>
      </c>
      <c r="C94" s="36">
        <v>6.44</v>
      </c>
      <c r="D94" s="36">
        <v>2.33</v>
      </c>
      <c r="E94" s="36">
        <v>8.83</v>
      </c>
      <c r="F94" s="36">
        <v>9.02</v>
      </c>
    </row>
    <row r="95" ht="15.75" customHeight="1">
      <c r="B95" s="36">
        <v>9.03</v>
      </c>
      <c r="C95" s="36">
        <v>6.71</v>
      </c>
      <c r="D95" s="36">
        <v>1.44</v>
      </c>
      <c r="E95" s="36">
        <v>9.03</v>
      </c>
      <c r="F95" s="36">
        <v>9.01</v>
      </c>
    </row>
    <row r="96" ht="15.75" customHeight="1">
      <c r="B96" s="36">
        <v>3.49</v>
      </c>
      <c r="C96" s="36">
        <v>4.59</v>
      </c>
      <c r="D96" s="36">
        <v>2.01</v>
      </c>
      <c r="E96" s="36">
        <v>9.02</v>
      </c>
      <c r="F96" s="36">
        <v>9.03</v>
      </c>
    </row>
    <row r="97" ht="15.75" customHeight="1">
      <c r="B97" s="36">
        <v>4.73</v>
      </c>
      <c r="C97" s="36">
        <v>6.4</v>
      </c>
      <c r="D97" s="36">
        <v>6.81</v>
      </c>
      <c r="E97" s="36">
        <v>9.03</v>
      </c>
      <c r="F97" s="36">
        <v>2.83</v>
      </c>
    </row>
    <row r="98" ht="15.75" customHeight="1">
      <c r="B98" s="36">
        <v>7.29</v>
      </c>
      <c r="C98" s="36">
        <v>6.53</v>
      </c>
      <c r="D98" s="36">
        <v>1.83</v>
      </c>
      <c r="E98" s="36">
        <v>9.01</v>
      </c>
      <c r="F98" s="36">
        <v>7.03</v>
      </c>
    </row>
    <row r="99" ht="15.75" customHeight="1">
      <c r="B99" s="36">
        <v>6.37</v>
      </c>
      <c r="C99" s="36">
        <v>6.13</v>
      </c>
      <c r="D99" s="36">
        <v>3.21</v>
      </c>
      <c r="E99" s="36">
        <v>9.01</v>
      </c>
      <c r="F99" s="36">
        <v>4.24</v>
      </c>
    </row>
    <row r="100" ht="15.75" customHeight="1">
      <c r="B100" s="36">
        <v>5.13</v>
      </c>
      <c r="C100" s="36">
        <v>6.56</v>
      </c>
      <c r="D100" s="36">
        <v>6.58</v>
      </c>
      <c r="E100" s="36">
        <v>9.01</v>
      </c>
      <c r="F100" s="36">
        <v>4.13</v>
      </c>
    </row>
    <row r="101" ht="15.75" customHeight="1">
      <c r="B101" s="36">
        <v>6.55</v>
      </c>
      <c r="C101" s="36">
        <v>3.4</v>
      </c>
      <c r="D101" s="36">
        <v>2.02</v>
      </c>
      <c r="E101" s="36">
        <v>9.01</v>
      </c>
      <c r="F101" s="36">
        <v>6.91</v>
      </c>
    </row>
    <row r="102" ht="15.75" customHeight="1">
      <c r="B102" s="36">
        <v>4.74</v>
      </c>
      <c r="C102" s="36">
        <v>6.06</v>
      </c>
      <c r="D102" s="36">
        <v>7.61</v>
      </c>
      <c r="E102" s="36">
        <v>8.81</v>
      </c>
      <c r="F102" s="36">
        <v>9.01</v>
      </c>
    </row>
    <row r="103" ht="15.75" customHeight="1">
      <c r="B103" s="37">
        <v>5.58</v>
      </c>
      <c r="C103" s="37">
        <v>3.44</v>
      </c>
      <c r="D103" s="37">
        <v>1.4</v>
      </c>
      <c r="E103" s="37">
        <v>9.01</v>
      </c>
      <c r="F103" s="37">
        <v>7.61</v>
      </c>
    </row>
    <row r="104" ht="15.75" customHeight="1"/>
    <row r="105" ht="15.75" customHeight="1"/>
    <row r="106" ht="15.75" customHeight="1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 ht="15.75" customHeight="1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 ht="15.75" customHeight="1">
      <c r="B108" s="40" t="s">
        <v>7</v>
      </c>
      <c r="C108" s="41">
        <v>6.0813</v>
      </c>
      <c r="D108" s="41">
        <v>2.5046</v>
      </c>
      <c r="E108" s="41">
        <v>5.955</v>
      </c>
      <c r="F108" s="41">
        <v>5.5904</v>
      </c>
      <c r="G108" s="41">
        <v>6.5722</v>
      </c>
      <c r="H108" s="42">
        <v>-0.18</v>
      </c>
      <c r="I108" s="42">
        <v>9.04</v>
      </c>
      <c r="J108" s="43">
        <v>41.2</v>
      </c>
    </row>
    <row r="109" ht="15.75" customHeight="1">
      <c r="B109" s="40" t="s">
        <v>12</v>
      </c>
      <c r="C109" s="41">
        <v>5.1097</v>
      </c>
      <c r="D109" s="41">
        <v>1.477</v>
      </c>
      <c r="E109" s="41">
        <v>5.25</v>
      </c>
      <c r="F109" s="41">
        <v>4.8202</v>
      </c>
      <c r="G109" s="41">
        <v>5.3992</v>
      </c>
      <c r="H109" s="42">
        <v>0.8</v>
      </c>
      <c r="I109" s="42">
        <v>9.01</v>
      </c>
      <c r="J109" s="43">
        <v>28.9</v>
      </c>
    </row>
    <row r="110" ht="15.75" customHeight="1">
      <c r="B110" s="40" t="s">
        <v>9</v>
      </c>
      <c r="C110" s="41">
        <v>2.5921</v>
      </c>
      <c r="D110" s="41">
        <v>1.7194</v>
      </c>
      <c r="E110" s="41">
        <v>2.19</v>
      </c>
      <c r="F110" s="41">
        <v>2.2551</v>
      </c>
      <c r="G110" s="41">
        <v>2.9291</v>
      </c>
      <c r="H110" s="42">
        <v>-0.19</v>
      </c>
      <c r="I110" s="42">
        <v>7.87</v>
      </c>
      <c r="J110" s="43">
        <v>66.3</v>
      </c>
    </row>
    <row r="111" ht="15.75" customHeight="1">
      <c r="B111" s="40" t="s">
        <v>11</v>
      </c>
      <c r="C111" s="41">
        <v>8.8498</v>
      </c>
      <c r="D111" s="41">
        <v>0.556</v>
      </c>
      <c r="E111" s="41">
        <v>9.01</v>
      </c>
      <c r="F111" s="41">
        <v>8.7408</v>
      </c>
      <c r="G111" s="41">
        <v>8.9588</v>
      </c>
      <c r="H111" s="42">
        <v>5.21</v>
      </c>
      <c r="I111" s="42">
        <v>9.06</v>
      </c>
      <c r="J111" s="43">
        <v>6.3</v>
      </c>
    </row>
    <row r="112" ht="15.75" customHeight="1">
      <c r="B112" s="44" t="s">
        <v>10</v>
      </c>
      <c r="C112" s="45">
        <v>6.1528</v>
      </c>
      <c r="D112" s="45">
        <v>2.8699</v>
      </c>
      <c r="E112" s="45">
        <v>6.785</v>
      </c>
      <c r="F112" s="45">
        <v>5.5903</v>
      </c>
      <c r="G112" s="45">
        <v>6.7153</v>
      </c>
      <c r="H112" s="46">
        <v>0.97</v>
      </c>
      <c r="I112" s="47">
        <v>9.04</v>
      </c>
      <c r="J112" s="48">
        <v>46.6</v>
      </c>
    </row>
    <row r="113" ht="15.75" customHeight="1">
      <c r="B113" s="40"/>
      <c r="C113" s="41"/>
      <c r="D113" s="41"/>
      <c r="E113" s="41"/>
      <c r="F113" s="41"/>
      <c r="G113" s="41"/>
      <c r="H113" s="42"/>
      <c r="I113" s="42"/>
      <c r="J113" s="43"/>
    </row>
    <row r="114" ht="15.75" customHeight="1">
      <c r="B114" s="49"/>
      <c r="C114" s="49"/>
      <c r="D114" s="49"/>
      <c r="E114" s="49"/>
      <c r="F114" s="49"/>
      <c r="G114" s="49"/>
      <c r="H114" s="49"/>
      <c r="I114" s="49"/>
      <c r="J114" s="49"/>
    </row>
    <row r="115" ht="15.75" customHeight="1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 ht="15.75" customHeight="1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 ht="15.75" customHeight="1">
      <c r="B117" s="45">
        <v>59.9055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 ht="15.75" customHeight="1">
      <c r="B118" s="41"/>
      <c r="C118" s="42"/>
      <c r="D118" s="52"/>
      <c r="E118" s="49"/>
      <c r="F118" s="49"/>
      <c r="G118" s="49"/>
      <c r="H118" s="49"/>
      <c r="I118" s="49"/>
      <c r="J118" s="49"/>
    </row>
    <row r="119" ht="15.75" customHeight="1">
      <c r="B119" s="49"/>
      <c r="C119" s="49"/>
      <c r="D119" s="49"/>
      <c r="E119" s="49"/>
      <c r="F119" s="49"/>
      <c r="G119" s="49"/>
      <c r="H119" s="49"/>
      <c r="I119" s="49"/>
      <c r="J119" s="49"/>
    </row>
    <row r="120" ht="15.75" customHeight="1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 ht="15.75" customHeight="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 ht="15.75" customHeight="1">
      <c r="B122" s="47">
        <v>417.6142</v>
      </c>
      <c r="C122" s="47">
        <v>4.0</v>
      </c>
      <c r="D122" s="47">
        <v>9.0</v>
      </c>
      <c r="E122" s="50" t="s">
        <v>35</v>
      </c>
      <c r="F122" s="51" t="s">
        <v>41</v>
      </c>
      <c r="G122" s="49"/>
      <c r="H122" s="49"/>
      <c r="I122" s="49"/>
      <c r="J122" s="49"/>
    </row>
    <row r="123" ht="15.75" customHeight="1">
      <c r="B123" s="42"/>
      <c r="C123" s="42"/>
      <c r="D123" s="42"/>
      <c r="E123" s="42"/>
      <c r="F123" s="52"/>
      <c r="G123" s="49"/>
      <c r="H123" s="49"/>
      <c r="I123" s="49"/>
      <c r="J123" s="49"/>
    </row>
    <row r="124" ht="15.75" customHeight="1">
      <c r="B124" s="49"/>
      <c r="C124" s="49"/>
      <c r="D124" s="49"/>
      <c r="E124" s="49"/>
      <c r="F124" s="49"/>
      <c r="G124" s="49"/>
      <c r="H124" s="49"/>
      <c r="I124" s="49"/>
      <c r="J124" s="49"/>
    </row>
    <row r="125" ht="15.75" customHeight="1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 ht="15.75" customHeight="1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 ht="15.75" customHeight="1">
      <c r="B127" s="40" t="s">
        <v>7</v>
      </c>
      <c r="C127" s="40" t="s">
        <v>12</v>
      </c>
      <c r="D127" s="41">
        <v>0.9716</v>
      </c>
      <c r="E127" s="41">
        <v>0.2908</v>
      </c>
      <c r="F127" s="41">
        <v>0.3974</v>
      </c>
      <c r="G127" s="41">
        <v>1.5458</v>
      </c>
      <c r="H127" s="53">
        <v>0.001</v>
      </c>
      <c r="I127" s="52" t="s">
        <v>48</v>
      </c>
      <c r="J127" s="49"/>
    </row>
    <row r="128" ht="15.75" customHeight="1">
      <c r="B128" s="40" t="s">
        <v>7</v>
      </c>
      <c r="C128" s="40" t="s">
        <v>9</v>
      </c>
      <c r="D128" s="41">
        <v>3.4892</v>
      </c>
      <c r="E128" s="41">
        <v>0.3038</v>
      </c>
      <c r="F128" s="41">
        <v>2.8896</v>
      </c>
      <c r="G128" s="41">
        <v>4.0888</v>
      </c>
      <c r="H128" s="53" t="s">
        <v>35</v>
      </c>
      <c r="I128" s="52" t="s">
        <v>48</v>
      </c>
      <c r="J128" s="49"/>
    </row>
    <row r="129" ht="15.75" customHeight="1">
      <c r="B129" s="40" t="s">
        <v>7</v>
      </c>
      <c r="C129" s="40" t="s">
        <v>11</v>
      </c>
      <c r="D129" s="41">
        <v>-2.7685</v>
      </c>
      <c r="E129" s="41">
        <v>0.2566</v>
      </c>
      <c r="F129" s="41">
        <v>-3.277</v>
      </c>
      <c r="G129" s="41">
        <v>-2.26</v>
      </c>
      <c r="H129" s="53" t="s">
        <v>35</v>
      </c>
      <c r="I129" s="52" t="s">
        <v>48</v>
      </c>
      <c r="J129" s="49"/>
    </row>
    <row r="130" ht="15.75" customHeight="1">
      <c r="B130" s="40" t="s">
        <v>7</v>
      </c>
      <c r="C130" s="40" t="s">
        <v>10</v>
      </c>
      <c r="D130" s="41">
        <v>-0.0715</v>
      </c>
      <c r="E130" s="41">
        <v>0.3809</v>
      </c>
      <c r="F130" s="41">
        <v>-0.8227</v>
      </c>
      <c r="G130" s="41">
        <v>0.6797</v>
      </c>
      <c r="H130" s="53">
        <v>0.8513</v>
      </c>
      <c r="I130" s="52" t="s">
        <v>49</v>
      </c>
      <c r="J130" s="49"/>
    </row>
    <row r="131" ht="15.75" customHeight="1">
      <c r="B131" s="40" t="s">
        <v>12</v>
      </c>
      <c r="C131" s="40" t="s">
        <v>9</v>
      </c>
      <c r="D131" s="41">
        <v>2.5176</v>
      </c>
      <c r="E131" s="41">
        <v>0.2267</v>
      </c>
      <c r="F131" s="41">
        <v>2.0705</v>
      </c>
      <c r="G131" s="41">
        <v>2.9647</v>
      </c>
      <c r="H131" s="53" t="s">
        <v>35</v>
      </c>
      <c r="I131" s="52" t="s">
        <v>48</v>
      </c>
      <c r="J131" s="49"/>
    </row>
    <row r="132" ht="15.75" customHeight="1">
      <c r="B132" s="40" t="s">
        <v>12</v>
      </c>
      <c r="C132" s="40" t="s">
        <v>11</v>
      </c>
      <c r="D132" s="41">
        <v>-3.7401</v>
      </c>
      <c r="E132" s="41">
        <v>0.1578</v>
      </c>
      <c r="F132" s="41">
        <v>-4.0524</v>
      </c>
      <c r="G132" s="41">
        <v>-3.4278</v>
      </c>
      <c r="H132" s="53" t="s">
        <v>35</v>
      </c>
      <c r="I132" s="52" t="s">
        <v>48</v>
      </c>
      <c r="J132" s="49"/>
    </row>
    <row r="133" ht="15.75" customHeight="1">
      <c r="B133" s="40" t="s">
        <v>12</v>
      </c>
      <c r="C133" s="40" t="s">
        <v>10</v>
      </c>
      <c r="D133" s="41">
        <v>-1.0431</v>
      </c>
      <c r="E133" s="41">
        <v>0.3228</v>
      </c>
      <c r="F133" s="41">
        <v>-1.6809</v>
      </c>
      <c r="G133" s="41">
        <v>-0.4053</v>
      </c>
      <c r="H133" s="53">
        <v>0.002</v>
      </c>
      <c r="I133" s="52" t="s">
        <v>48</v>
      </c>
      <c r="J133" s="49"/>
    </row>
    <row r="134" ht="15.75" customHeight="1">
      <c r="B134" s="40" t="s">
        <v>9</v>
      </c>
      <c r="C134" s="40" t="s">
        <v>11</v>
      </c>
      <c r="D134" s="41">
        <v>-6.2577</v>
      </c>
      <c r="E134" s="41">
        <v>0.1807</v>
      </c>
      <c r="F134" s="41">
        <v>-6.6155</v>
      </c>
      <c r="G134" s="41">
        <v>-5.8999</v>
      </c>
      <c r="H134" s="53" t="s">
        <v>35</v>
      </c>
      <c r="I134" s="52" t="s">
        <v>48</v>
      </c>
      <c r="J134" s="49"/>
    </row>
    <row r="135" ht="15.75" customHeight="1">
      <c r="B135" s="40" t="s">
        <v>9</v>
      </c>
      <c r="C135" s="40" t="s">
        <v>10</v>
      </c>
      <c r="D135" s="41">
        <v>-3.5607</v>
      </c>
      <c r="E135" s="41">
        <v>0.3346</v>
      </c>
      <c r="F135" s="41">
        <v>-4.2214</v>
      </c>
      <c r="G135" s="41">
        <v>-2.9</v>
      </c>
      <c r="H135" s="53" t="s">
        <v>35</v>
      </c>
      <c r="I135" s="52" t="s">
        <v>48</v>
      </c>
      <c r="J135" s="49"/>
    </row>
    <row r="136" ht="15.75" customHeight="1">
      <c r="B136" s="44" t="s">
        <v>11</v>
      </c>
      <c r="C136" s="44" t="s">
        <v>10</v>
      </c>
      <c r="D136" s="45">
        <v>2.697</v>
      </c>
      <c r="E136" s="45">
        <v>0.2923</v>
      </c>
      <c r="F136" s="45">
        <v>2.1175</v>
      </c>
      <c r="G136" s="45">
        <v>3.2765</v>
      </c>
      <c r="H136" s="54" t="s">
        <v>35</v>
      </c>
      <c r="I136" s="51" t="s">
        <v>48</v>
      </c>
      <c r="J136" s="49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5">
    <mergeCell ref="B2:F2"/>
    <mergeCell ref="B106:J106"/>
    <mergeCell ref="B115:D115"/>
    <mergeCell ref="B120:F120"/>
    <mergeCell ref="B125:I1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38"/>
    <col customWidth="1" min="3" max="3" width="11.88"/>
    <col customWidth="1" min="4" max="4" width="15.88"/>
    <col customWidth="1" min="5" max="5" width="11.88"/>
    <col customWidth="1" min="6" max="6" width="13.88"/>
    <col customWidth="1" min="7" max="7" width="15.13"/>
    <col customWidth="1" min="8" max="10" width="11.88"/>
    <col customWidth="1" min="11" max="26" width="8.63"/>
  </cols>
  <sheetData>
    <row r="2">
      <c r="B2" s="33" t="s">
        <v>50</v>
      </c>
      <c r="C2" s="34"/>
      <c r="D2" s="34"/>
      <c r="E2" s="34"/>
      <c r="F2" s="34"/>
    </row>
    <row r="3">
      <c r="B3" s="35" t="s">
        <v>8</v>
      </c>
      <c r="C3" s="35" t="s">
        <v>12</v>
      </c>
      <c r="D3" s="35" t="s">
        <v>9</v>
      </c>
      <c r="E3" s="35" t="s">
        <v>11</v>
      </c>
      <c r="F3" s="35" t="s">
        <v>10</v>
      </c>
    </row>
    <row r="4">
      <c r="B4" s="36">
        <v>9.0</v>
      </c>
      <c r="C4" s="36">
        <v>6.3</v>
      </c>
      <c r="D4" s="36">
        <v>2.36</v>
      </c>
      <c r="E4" s="36">
        <v>9.02</v>
      </c>
      <c r="F4" s="36">
        <v>1.59</v>
      </c>
    </row>
    <row r="5">
      <c r="B5" s="36">
        <v>9.01</v>
      </c>
      <c r="C5" s="36">
        <v>5.17</v>
      </c>
      <c r="D5" s="36">
        <v>2.01</v>
      </c>
      <c r="E5" s="36">
        <v>9.03</v>
      </c>
      <c r="F5" s="36">
        <v>9.03</v>
      </c>
    </row>
    <row r="6">
      <c r="B6" s="36">
        <v>7.28</v>
      </c>
      <c r="C6" s="36">
        <v>5.43</v>
      </c>
      <c r="D6" s="36">
        <v>2.98</v>
      </c>
      <c r="E6" s="36">
        <v>9.03</v>
      </c>
      <c r="F6" s="36">
        <v>6.69</v>
      </c>
    </row>
    <row r="7">
      <c r="B7" s="36">
        <v>9.01</v>
      </c>
      <c r="C7" s="36">
        <v>4.57</v>
      </c>
      <c r="D7" s="36">
        <v>3.19</v>
      </c>
      <c r="E7" s="36">
        <v>9.0</v>
      </c>
      <c r="F7" s="36">
        <v>6.42</v>
      </c>
    </row>
    <row r="8">
      <c r="B8" s="36">
        <v>9.01</v>
      </c>
      <c r="C8" s="36">
        <v>1.8</v>
      </c>
      <c r="D8" s="36">
        <v>4.52</v>
      </c>
      <c r="E8" s="36">
        <v>9.0</v>
      </c>
      <c r="F8" s="36">
        <v>9.01</v>
      </c>
    </row>
    <row r="9">
      <c r="B9" s="36">
        <v>9.01</v>
      </c>
      <c r="C9" s="36">
        <v>2.46</v>
      </c>
      <c r="D9" s="36">
        <v>6.26</v>
      </c>
      <c r="E9" s="36">
        <v>8.07</v>
      </c>
      <c r="F9" s="36">
        <v>4.56</v>
      </c>
    </row>
    <row r="10">
      <c r="B10" s="36">
        <v>9.01</v>
      </c>
      <c r="C10" s="36">
        <v>5.1</v>
      </c>
      <c r="D10" s="36">
        <v>5.66</v>
      </c>
      <c r="E10" s="36">
        <v>8.4</v>
      </c>
      <c r="F10" s="36">
        <v>3.16</v>
      </c>
    </row>
    <row r="11">
      <c r="B11" s="36">
        <v>9.03</v>
      </c>
      <c r="C11" s="36">
        <v>5.65</v>
      </c>
      <c r="D11" s="36">
        <v>0.25</v>
      </c>
      <c r="E11" s="36">
        <v>9.03</v>
      </c>
      <c r="F11" s="36">
        <v>2.28</v>
      </c>
    </row>
    <row r="12">
      <c r="B12" s="36">
        <v>9.02</v>
      </c>
      <c r="C12" s="36">
        <v>1.38</v>
      </c>
      <c r="D12" s="36">
        <v>1.48</v>
      </c>
      <c r="E12" s="36">
        <v>9.02</v>
      </c>
      <c r="F12" s="36">
        <v>3.82</v>
      </c>
    </row>
    <row r="13">
      <c r="B13" s="36">
        <v>8.53</v>
      </c>
      <c r="C13" s="36">
        <v>5.77</v>
      </c>
      <c r="D13" s="36">
        <v>1.25</v>
      </c>
      <c r="E13" s="36">
        <v>9.03</v>
      </c>
      <c r="F13" s="36">
        <v>9.02</v>
      </c>
    </row>
    <row r="14">
      <c r="B14" s="36">
        <v>6.12</v>
      </c>
      <c r="C14" s="36">
        <v>4.34</v>
      </c>
      <c r="D14" s="36">
        <v>9.05</v>
      </c>
      <c r="E14" s="36">
        <v>9.02</v>
      </c>
      <c r="F14" s="36">
        <v>9.01</v>
      </c>
    </row>
    <row r="15">
      <c r="B15" s="36">
        <v>7.82</v>
      </c>
      <c r="C15" s="36">
        <v>4.9</v>
      </c>
      <c r="D15" s="36">
        <v>1.09</v>
      </c>
      <c r="E15" s="36">
        <v>9.03</v>
      </c>
      <c r="F15" s="36">
        <v>2.63</v>
      </c>
    </row>
    <row r="16">
      <c r="B16" s="36">
        <v>6.69</v>
      </c>
      <c r="C16" s="36">
        <v>5.53</v>
      </c>
      <c r="D16" s="36">
        <v>1.91</v>
      </c>
      <c r="E16" s="36">
        <v>9.01</v>
      </c>
      <c r="F16" s="36">
        <v>9.02</v>
      </c>
    </row>
    <row r="17">
      <c r="B17" s="36">
        <v>5.11</v>
      </c>
      <c r="C17" s="36">
        <v>4.96</v>
      </c>
      <c r="D17" s="36">
        <v>1.85</v>
      </c>
      <c r="E17" s="36">
        <v>7.46</v>
      </c>
      <c r="F17" s="36">
        <v>2.15</v>
      </c>
    </row>
    <row r="18">
      <c r="B18" s="36">
        <v>9.01</v>
      </c>
      <c r="C18" s="36">
        <v>5.81</v>
      </c>
      <c r="D18" s="36">
        <v>1.72</v>
      </c>
      <c r="E18" s="36">
        <v>9.04</v>
      </c>
      <c r="F18" s="36">
        <v>1.45</v>
      </c>
    </row>
    <row r="19">
      <c r="B19" s="36">
        <v>9.0</v>
      </c>
      <c r="C19" s="36">
        <v>2.98</v>
      </c>
      <c r="D19" s="36">
        <v>1.39</v>
      </c>
      <c r="E19" s="36">
        <v>7.09</v>
      </c>
      <c r="F19" s="36">
        <v>9.0</v>
      </c>
    </row>
    <row r="20">
      <c r="B20" s="36">
        <v>6.29</v>
      </c>
      <c r="C20" s="36">
        <v>5.79</v>
      </c>
      <c r="D20" s="36">
        <v>1.83</v>
      </c>
      <c r="E20" s="36">
        <v>9.03</v>
      </c>
      <c r="F20" s="36">
        <v>2.34</v>
      </c>
    </row>
    <row r="21" ht="15.75" customHeight="1">
      <c r="B21" s="36">
        <v>9.02</v>
      </c>
      <c r="C21" s="36">
        <v>3.83</v>
      </c>
      <c r="D21" s="36">
        <v>7.03</v>
      </c>
      <c r="E21" s="36">
        <v>9.03</v>
      </c>
      <c r="F21" s="36">
        <v>1.69</v>
      </c>
    </row>
    <row r="22" ht="15.75" customHeight="1">
      <c r="B22" s="36">
        <v>7.0</v>
      </c>
      <c r="C22" s="36">
        <v>6.08</v>
      </c>
      <c r="D22" s="36">
        <v>2.35</v>
      </c>
      <c r="E22" s="36">
        <v>9.01</v>
      </c>
      <c r="F22" s="36">
        <v>8.2</v>
      </c>
    </row>
    <row r="23" ht="15.75" customHeight="1">
      <c r="B23" s="36">
        <v>5.9</v>
      </c>
      <c r="C23" s="36">
        <v>3.81</v>
      </c>
      <c r="D23" s="36">
        <v>1.85</v>
      </c>
      <c r="E23" s="36">
        <v>9.04</v>
      </c>
      <c r="F23" s="36">
        <v>5.23</v>
      </c>
    </row>
    <row r="24" ht="15.75" customHeight="1">
      <c r="B24" s="36">
        <v>9.03</v>
      </c>
      <c r="C24" s="36">
        <v>5.6</v>
      </c>
      <c r="D24" s="36">
        <v>1.13</v>
      </c>
      <c r="E24" s="36">
        <v>9.03</v>
      </c>
      <c r="F24" s="36">
        <v>2.33</v>
      </c>
    </row>
    <row r="25" ht="15.75" customHeight="1">
      <c r="B25" s="36">
        <v>9.01</v>
      </c>
      <c r="C25" s="36">
        <v>5.11</v>
      </c>
      <c r="D25" s="36">
        <v>1.55</v>
      </c>
      <c r="E25" s="36">
        <v>9.02</v>
      </c>
      <c r="F25" s="36">
        <v>9.01</v>
      </c>
    </row>
    <row r="26" ht="15.75" customHeight="1">
      <c r="B26" s="36">
        <v>9.03</v>
      </c>
      <c r="C26" s="36">
        <v>7.37</v>
      </c>
      <c r="D26" s="36">
        <v>4.45</v>
      </c>
      <c r="E26" s="36">
        <v>9.02</v>
      </c>
      <c r="F26" s="36">
        <v>8.53</v>
      </c>
    </row>
    <row r="27" ht="15.75" customHeight="1">
      <c r="B27" s="36">
        <v>8.78</v>
      </c>
      <c r="C27" s="36">
        <v>5.72</v>
      </c>
      <c r="D27" s="36">
        <v>2.6</v>
      </c>
      <c r="E27" s="36">
        <v>9.02</v>
      </c>
      <c r="F27" s="36">
        <v>4.49</v>
      </c>
    </row>
    <row r="28" ht="15.75" customHeight="1">
      <c r="B28" s="36">
        <v>9.01</v>
      </c>
      <c r="C28" s="36">
        <v>5.58</v>
      </c>
      <c r="D28" s="36">
        <v>3.23</v>
      </c>
      <c r="E28" s="36">
        <v>9.01</v>
      </c>
      <c r="F28" s="36">
        <v>5.28</v>
      </c>
    </row>
    <row r="29" ht="15.75" customHeight="1">
      <c r="B29" s="36">
        <v>9.04</v>
      </c>
      <c r="C29" s="36">
        <v>4.36</v>
      </c>
      <c r="D29" s="36">
        <v>1.92</v>
      </c>
      <c r="E29" s="36">
        <v>9.03</v>
      </c>
      <c r="F29" s="36">
        <v>7.51</v>
      </c>
    </row>
    <row r="30" ht="15.75" customHeight="1">
      <c r="B30" s="36">
        <v>9.02</v>
      </c>
      <c r="C30" s="36">
        <v>5.66</v>
      </c>
      <c r="D30" s="36">
        <v>1.79</v>
      </c>
      <c r="E30" s="36">
        <v>8.39</v>
      </c>
      <c r="F30" s="36">
        <v>2.72</v>
      </c>
    </row>
    <row r="31" ht="15.75" customHeight="1">
      <c r="B31" s="36">
        <v>8.49</v>
      </c>
      <c r="C31" s="36">
        <v>5.84</v>
      </c>
      <c r="D31" s="36">
        <v>1.24</v>
      </c>
      <c r="E31" s="36">
        <v>8.74</v>
      </c>
      <c r="F31" s="36">
        <v>4.4</v>
      </c>
    </row>
    <row r="32" ht="15.75" customHeight="1">
      <c r="B32" s="36">
        <v>5.29</v>
      </c>
      <c r="C32" s="36">
        <v>1.3</v>
      </c>
      <c r="D32" s="36">
        <v>1.22</v>
      </c>
      <c r="E32" s="36">
        <v>9.01</v>
      </c>
      <c r="F32" s="36">
        <v>5.23</v>
      </c>
    </row>
    <row r="33" ht="15.75" customHeight="1">
      <c r="B33" s="36">
        <v>9.0</v>
      </c>
      <c r="C33" s="36">
        <v>7.85</v>
      </c>
      <c r="D33" s="36">
        <v>8.61</v>
      </c>
      <c r="E33" s="36">
        <v>9.01</v>
      </c>
      <c r="F33" s="36">
        <v>5.52</v>
      </c>
    </row>
    <row r="34" ht="15.75" customHeight="1">
      <c r="B34" s="36">
        <v>9.02</v>
      </c>
      <c r="C34" s="36">
        <v>2.68</v>
      </c>
      <c r="D34" s="36">
        <v>1.82</v>
      </c>
      <c r="E34" s="36">
        <v>9.02</v>
      </c>
      <c r="F34" s="36">
        <v>9.01</v>
      </c>
    </row>
    <row r="35" ht="15.75" customHeight="1">
      <c r="B35" s="36">
        <v>9.01</v>
      </c>
      <c r="C35" s="36">
        <v>4.76</v>
      </c>
      <c r="D35" s="36">
        <v>3.8</v>
      </c>
      <c r="E35" s="36">
        <v>7.98</v>
      </c>
      <c r="F35" s="36">
        <v>1.42</v>
      </c>
    </row>
    <row r="36" ht="15.75" customHeight="1">
      <c r="B36" s="36">
        <v>3.2</v>
      </c>
      <c r="C36" s="36">
        <v>5.4</v>
      </c>
      <c r="D36" s="36">
        <v>1.29</v>
      </c>
      <c r="E36" s="36">
        <v>7.22</v>
      </c>
      <c r="F36" s="36">
        <v>9.03</v>
      </c>
    </row>
    <row r="37" ht="15.75" customHeight="1">
      <c r="B37" s="36">
        <v>5.27</v>
      </c>
      <c r="C37" s="36">
        <v>0.71</v>
      </c>
      <c r="D37" s="36">
        <v>3.87</v>
      </c>
      <c r="E37" s="36">
        <v>6.85</v>
      </c>
      <c r="F37" s="36">
        <v>2.6</v>
      </c>
    </row>
    <row r="38" ht="15.75" customHeight="1">
      <c r="B38" s="36">
        <v>7.61</v>
      </c>
      <c r="C38" s="36">
        <v>6.71</v>
      </c>
      <c r="D38" s="36">
        <v>4.59</v>
      </c>
      <c r="E38" s="36">
        <v>9.01</v>
      </c>
      <c r="F38" s="36">
        <v>1.88</v>
      </c>
    </row>
    <row r="39" ht="15.75" customHeight="1">
      <c r="B39" s="36">
        <v>7.42</v>
      </c>
      <c r="C39" s="36">
        <v>4.18</v>
      </c>
      <c r="D39" s="36">
        <v>3.22</v>
      </c>
      <c r="E39" s="36">
        <v>8.75</v>
      </c>
      <c r="F39" s="36">
        <v>2.07</v>
      </c>
    </row>
    <row r="40" ht="15.75" customHeight="1">
      <c r="B40" s="36">
        <v>9.03</v>
      </c>
      <c r="C40" s="36">
        <v>7.55</v>
      </c>
      <c r="D40" s="36">
        <v>1.85</v>
      </c>
      <c r="E40" s="36">
        <v>7.25</v>
      </c>
      <c r="F40" s="36">
        <v>9.01</v>
      </c>
    </row>
    <row r="41" ht="15.75" customHeight="1">
      <c r="B41" s="36">
        <v>9.0</v>
      </c>
      <c r="C41" s="36">
        <v>4.06</v>
      </c>
      <c r="D41" s="36">
        <v>7.34</v>
      </c>
      <c r="E41" s="36">
        <v>9.01</v>
      </c>
      <c r="F41" s="36">
        <v>9.03</v>
      </c>
    </row>
    <row r="42" ht="15.75" customHeight="1">
      <c r="B42" s="36">
        <v>9.02</v>
      </c>
      <c r="C42" s="36">
        <v>5.18</v>
      </c>
      <c r="D42" s="36">
        <v>8.97</v>
      </c>
      <c r="E42" s="36">
        <v>8.39</v>
      </c>
      <c r="F42" s="36">
        <v>5.62</v>
      </c>
    </row>
    <row r="43" ht="15.75" customHeight="1">
      <c r="B43" s="36">
        <v>9.02</v>
      </c>
      <c r="C43" s="36">
        <v>4.47</v>
      </c>
      <c r="D43" s="36">
        <v>0.92</v>
      </c>
      <c r="E43" s="36">
        <v>9.02</v>
      </c>
      <c r="F43" s="36">
        <v>1.46</v>
      </c>
    </row>
    <row r="44" ht="15.75" customHeight="1">
      <c r="B44" s="36">
        <v>6.37</v>
      </c>
      <c r="C44" s="36">
        <v>5.51</v>
      </c>
      <c r="D44" s="36">
        <v>1.31</v>
      </c>
      <c r="E44" s="36">
        <v>9.01</v>
      </c>
      <c r="F44" s="36">
        <v>5.89</v>
      </c>
    </row>
    <row r="45" ht="15.75" customHeight="1">
      <c r="B45" s="36">
        <v>9.03</v>
      </c>
      <c r="C45" s="36">
        <v>1.72</v>
      </c>
      <c r="D45" s="36">
        <v>1.45</v>
      </c>
      <c r="E45" s="36">
        <v>9.0</v>
      </c>
      <c r="F45" s="36">
        <v>9.01</v>
      </c>
    </row>
    <row r="46" ht="15.75" customHeight="1">
      <c r="B46" s="36">
        <v>9.0</v>
      </c>
      <c r="C46" s="36">
        <v>5.54</v>
      </c>
      <c r="D46" s="36">
        <v>2.01</v>
      </c>
      <c r="E46" s="36">
        <v>9.01</v>
      </c>
      <c r="F46" s="36">
        <v>9.0</v>
      </c>
    </row>
    <row r="47" ht="15.75" customHeight="1">
      <c r="B47" s="36">
        <v>9.01</v>
      </c>
      <c r="C47" s="36">
        <v>6.6</v>
      </c>
      <c r="D47" s="36">
        <v>1.04</v>
      </c>
      <c r="E47" s="36">
        <v>8.58</v>
      </c>
      <c r="F47" s="36">
        <v>9.02</v>
      </c>
    </row>
    <row r="48" ht="15.75" customHeight="1">
      <c r="B48" s="36">
        <v>9.01</v>
      </c>
      <c r="C48" s="36">
        <v>4.35</v>
      </c>
      <c r="D48" s="36">
        <v>2.26</v>
      </c>
      <c r="E48" s="36">
        <v>9.02</v>
      </c>
      <c r="F48" s="36">
        <v>8.66</v>
      </c>
    </row>
    <row r="49" ht="15.75" customHeight="1">
      <c r="B49" s="36">
        <v>4.42</v>
      </c>
      <c r="C49" s="36">
        <v>6.37</v>
      </c>
      <c r="D49" s="36">
        <v>4.81</v>
      </c>
      <c r="E49" s="36">
        <v>9.02</v>
      </c>
      <c r="F49" s="36">
        <v>9.01</v>
      </c>
    </row>
    <row r="50" ht="15.75" customHeight="1">
      <c r="B50" s="36">
        <v>9.02</v>
      </c>
      <c r="C50" s="36">
        <v>5.28</v>
      </c>
      <c r="D50" s="36">
        <v>3.43</v>
      </c>
      <c r="E50" s="36">
        <v>9.02</v>
      </c>
      <c r="F50" s="36">
        <v>9.02</v>
      </c>
    </row>
    <row r="51" ht="15.75" customHeight="1">
      <c r="B51" s="36">
        <v>8.22</v>
      </c>
      <c r="C51" s="36">
        <v>6.64</v>
      </c>
      <c r="D51" s="36">
        <v>1.77</v>
      </c>
      <c r="E51" s="36">
        <v>8.92</v>
      </c>
      <c r="F51" s="36">
        <v>9.01</v>
      </c>
    </row>
    <row r="52" ht="15.75" customHeight="1">
      <c r="B52" s="36">
        <v>9.0</v>
      </c>
      <c r="C52" s="36">
        <v>4.53</v>
      </c>
      <c r="D52" s="36">
        <v>1.53</v>
      </c>
      <c r="E52" s="36">
        <v>9.02</v>
      </c>
      <c r="F52" s="36">
        <v>2.07</v>
      </c>
    </row>
    <row r="53" ht="15.75" customHeight="1">
      <c r="B53" s="36">
        <v>8.65</v>
      </c>
      <c r="C53" s="36">
        <v>4.74</v>
      </c>
      <c r="D53" s="36">
        <v>1.83</v>
      </c>
      <c r="E53" s="36">
        <v>9.02</v>
      </c>
      <c r="F53" s="36">
        <v>8.9</v>
      </c>
    </row>
    <row r="54" ht="15.75" customHeight="1">
      <c r="B54" s="36">
        <v>6.2</v>
      </c>
      <c r="C54" s="36">
        <v>3.27</v>
      </c>
      <c r="D54" s="36">
        <v>1.43</v>
      </c>
      <c r="E54" s="36">
        <v>3.88</v>
      </c>
      <c r="F54" s="36">
        <v>2.03</v>
      </c>
    </row>
    <row r="55" ht="15.75" customHeight="1">
      <c r="B55" s="36">
        <v>9.01</v>
      </c>
      <c r="C55" s="36">
        <v>2.29</v>
      </c>
      <c r="D55" s="36">
        <v>0.96</v>
      </c>
      <c r="E55" s="36">
        <v>9.02</v>
      </c>
      <c r="F55" s="36">
        <v>7.68</v>
      </c>
    </row>
    <row r="56" ht="15.75" customHeight="1">
      <c r="B56" s="36">
        <v>9.02</v>
      </c>
      <c r="C56" s="36">
        <v>6.22</v>
      </c>
      <c r="D56" s="36">
        <v>2.09</v>
      </c>
      <c r="E56" s="36">
        <v>9.02</v>
      </c>
      <c r="F56" s="36">
        <v>9.02</v>
      </c>
    </row>
    <row r="57" ht="15.75" customHeight="1">
      <c r="B57" s="36">
        <v>3.47</v>
      </c>
      <c r="C57" s="36">
        <v>7.47</v>
      </c>
      <c r="D57" s="36">
        <v>1.67</v>
      </c>
      <c r="E57" s="36">
        <v>9.02</v>
      </c>
      <c r="F57" s="36">
        <v>2.3</v>
      </c>
    </row>
    <row r="58" ht="15.75" customHeight="1">
      <c r="B58" s="36">
        <v>6.94</v>
      </c>
      <c r="C58" s="36">
        <v>5.75</v>
      </c>
      <c r="D58" s="36">
        <v>1.13</v>
      </c>
      <c r="E58" s="36">
        <v>9.01</v>
      </c>
      <c r="F58" s="36">
        <v>6.27</v>
      </c>
    </row>
    <row r="59" ht="15.75" customHeight="1">
      <c r="B59" s="36">
        <v>4.49</v>
      </c>
      <c r="C59" s="36">
        <v>5.88</v>
      </c>
      <c r="D59" s="36">
        <v>3.48</v>
      </c>
      <c r="E59" s="36">
        <v>7.94</v>
      </c>
      <c r="F59" s="36">
        <v>1.43</v>
      </c>
    </row>
    <row r="60" ht="15.75" customHeight="1">
      <c r="B60" s="36">
        <v>9.02</v>
      </c>
      <c r="C60" s="36">
        <v>5.86</v>
      </c>
      <c r="D60" s="36">
        <v>2.35</v>
      </c>
      <c r="E60" s="36">
        <v>9.0</v>
      </c>
      <c r="F60" s="36">
        <v>9.03</v>
      </c>
    </row>
    <row r="61" ht="15.75" customHeight="1">
      <c r="B61" s="36">
        <v>9.03</v>
      </c>
      <c r="C61" s="36">
        <v>4.62</v>
      </c>
      <c r="D61" s="36">
        <v>1.42</v>
      </c>
      <c r="E61" s="36">
        <v>9.01</v>
      </c>
      <c r="F61" s="36">
        <v>9.0</v>
      </c>
    </row>
    <row r="62" ht="15.75" customHeight="1">
      <c r="B62" s="36">
        <v>8.25</v>
      </c>
      <c r="C62" s="36">
        <v>4.98</v>
      </c>
      <c r="D62" s="36">
        <v>7.5</v>
      </c>
      <c r="E62" s="36">
        <v>9.02</v>
      </c>
      <c r="F62" s="36">
        <v>4.71</v>
      </c>
    </row>
    <row r="63" ht="15.75" customHeight="1">
      <c r="B63" s="36">
        <v>9.03</v>
      </c>
      <c r="C63" s="36">
        <v>5.55</v>
      </c>
      <c r="D63" s="36">
        <v>1.99</v>
      </c>
      <c r="E63" s="36">
        <v>9.02</v>
      </c>
      <c r="F63" s="36">
        <v>9.01</v>
      </c>
    </row>
    <row r="64" ht="15.75" customHeight="1">
      <c r="B64" s="36">
        <v>7.61</v>
      </c>
      <c r="C64" s="36">
        <v>4.26</v>
      </c>
      <c r="D64" s="36">
        <v>-0.01</v>
      </c>
      <c r="E64" s="36">
        <v>9.0</v>
      </c>
      <c r="F64" s="36">
        <v>3.64</v>
      </c>
    </row>
    <row r="65" ht="15.75" customHeight="1">
      <c r="B65" s="36">
        <v>9.0</v>
      </c>
      <c r="C65" s="36">
        <v>5.7</v>
      </c>
      <c r="D65" s="36">
        <v>1.93</v>
      </c>
      <c r="E65" s="36">
        <v>9.02</v>
      </c>
      <c r="F65" s="36">
        <v>2.47</v>
      </c>
    </row>
    <row r="66" ht="15.75" customHeight="1">
      <c r="B66" s="36">
        <v>9.01</v>
      </c>
      <c r="C66" s="36">
        <v>2.64</v>
      </c>
      <c r="D66" s="36">
        <v>9.01</v>
      </c>
      <c r="E66" s="36">
        <v>9.01</v>
      </c>
      <c r="F66" s="36">
        <v>9.0</v>
      </c>
    </row>
    <row r="67" ht="15.75" customHeight="1">
      <c r="B67" s="36">
        <v>8.06</v>
      </c>
      <c r="C67" s="36">
        <v>6.01</v>
      </c>
      <c r="D67" s="36">
        <v>1.98</v>
      </c>
      <c r="E67" s="36">
        <v>9.01</v>
      </c>
      <c r="F67" s="36">
        <v>3.78</v>
      </c>
    </row>
    <row r="68" ht="15.75" customHeight="1">
      <c r="B68" s="36">
        <v>4.12</v>
      </c>
      <c r="C68" s="36">
        <v>4.99</v>
      </c>
      <c r="D68" s="36">
        <v>1.55</v>
      </c>
      <c r="E68" s="36">
        <v>9.0</v>
      </c>
      <c r="F68" s="36">
        <v>8.12</v>
      </c>
    </row>
    <row r="69" ht="15.75" customHeight="1">
      <c r="B69" s="36">
        <v>9.01</v>
      </c>
      <c r="C69" s="36">
        <v>7.56</v>
      </c>
      <c r="D69" s="36">
        <v>5.03</v>
      </c>
      <c r="E69" s="36">
        <v>9.01</v>
      </c>
      <c r="F69" s="36">
        <v>9.03</v>
      </c>
    </row>
    <row r="70" ht="15.75" customHeight="1">
      <c r="B70" s="36">
        <v>2.29</v>
      </c>
      <c r="C70" s="36">
        <v>3.76</v>
      </c>
      <c r="D70" s="36">
        <v>1.19</v>
      </c>
      <c r="E70" s="36">
        <v>9.01</v>
      </c>
      <c r="F70" s="36">
        <v>8.09</v>
      </c>
    </row>
    <row r="71" ht="15.75" customHeight="1">
      <c r="B71" s="36">
        <v>3.48</v>
      </c>
      <c r="C71" s="36">
        <v>5.59</v>
      </c>
      <c r="D71" s="36">
        <v>2.84</v>
      </c>
      <c r="E71" s="36">
        <v>9.01</v>
      </c>
      <c r="F71" s="36">
        <v>9.0</v>
      </c>
    </row>
    <row r="72" ht="15.75" customHeight="1">
      <c r="B72" s="36">
        <v>3.92</v>
      </c>
      <c r="C72" s="36">
        <v>1.34</v>
      </c>
      <c r="D72" s="36">
        <v>0.69</v>
      </c>
      <c r="E72" s="36">
        <v>4.42</v>
      </c>
      <c r="F72" s="36">
        <v>9.0</v>
      </c>
    </row>
    <row r="73" ht="15.75" customHeight="1">
      <c r="B73" s="36">
        <v>9.01</v>
      </c>
      <c r="C73" s="36">
        <v>5.66</v>
      </c>
      <c r="D73" s="36">
        <v>2.47</v>
      </c>
      <c r="E73" s="36">
        <v>9.05</v>
      </c>
      <c r="F73" s="36">
        <v>9.02</v>
      </c>
    </row>
    <row r="74" ht="15.75" customHeight="1">
      <c r="B74" s="36">
        <v>9.02</v>
      </c>
      <c r="C74" s="36">
        <v>5.83</v>
      </c>
      <c r="D74" s="36">
        <v>1.35</v>
      </c>
      <c r="E74" s="36">
        <v>8.96</v>
      </c>
      <c r="F74" s="36">
        <v>4.11</v>
      </c>
    </row>
    <row r="75" ht="15.75" customHeight="1">
      <c r="B75" s="36">
        <v>6.97</v>
      </c>
      <c r="C75" s="36">
        <v>3.63</v>
      </c>
      <c r="D75" s="36">
        <v>1.68</v>
      </c>
      <c r="E75" s="36">
        <v>9.03</v>
      </c>
      <c r="F75" s="36">
        <v>9.01</v>
      </c>
    </row>
    <row r="76" ht="15.75" customHeight="1">
      <c r="B76" s="36">
        <v>7.79</v>
      </c>
      <c r="C76" s="36">
        <v>4.28</v>
      </c>
      <c r="D76" s="36">
        <v>3.83</v>
      </c>
      <c r="E76" s="36">
        <v>9.01</v>
      </c>
      <c r="F76" s="36">
        <v>3.85</v>
      </c>
    </row>
    <row r="77" ht="15.75" customHeight="1">
      <c r="B77" s="36">
        <v>9.03</v>
      </c>
      <c r="C77" s="36">
        <v>1.12</v>
      </c>
      <c r="D77" s="36">
        <v>1.87</v>
      </c>
      <c r="E77" s="36">
        <v>3.15</v>
      </c>
      <c r="F77" s="36">
        <v>1.26</v>
      </c>
    </row>
    <row r="78" ht="15.75" customHeight="1">
      <c r="B78" s="36">
        <v>7.71</v>
      </c>
      <c r="C78" s="36">
        <v>2.2</v>
      </c>
      <c r="D78" s="36">
        <v>1.82</v>
      </c>
      <c r="E78" s="36">
        <v>9.03</v>
      </c>
      <c r="F78" s="36">
        <v>9.01</v>
      </c>
    </row>
    <row r="79" ht="15.75" customHeight="1">
      <c r="B79" s="36">
        <v>8.29</v>
      </c>
      <c r="C79" s="36">
        <v>6.86</v>
      </c>
      <c r="D79" s="36">
        <v>2.33</v>
      </c>
      <c r="E79" s="36">
        <v>5.22</v>
      </c>
      <c r="F79" s="36">
        <v>9.02</v>
      </c>
    </row>
    <row r="80" ht="15.75" customHeight="1">
      <c r="B80" s="36">
        <v>9.02</v>
      </c>
      <c r="C80" s="36">
        <v>4.52</v>
      </c>
      <c r="D80" s="36">
        <v>2.32</v>
      </c>
      <c r="E80" s="36">
        <v>9.01</v>
      </c>
      <c r="F80" s="36">
        <v>9.0</v>
      </c>
    </row>
    <row r="81" ht="15.75" customHeight="1">
      <c r="B81" s="36">
        <v>6.67</v>
      </c>
      <c r="C81" s="36">
        <v>5.87</v>
      </c>
      <c r="D81" s="36">
        <v>1.7</v>
      </c>
      <c r="E81" s="36">
        <v>9.0</v>
      </c>
      <c r="F81" s="36">
        <v>9.03</v>
      </c>
    </row>
    <row r="82" ht="15.75" customHeight="1">
      <c r="B82" s="36">
        <v>3.86</v>
      </c>
      <c r="C82" s="36">
        <v>6.76</v>
      </c>
      <c r="D82" s="36">
        <v>0.75</v>
      </c>
      <c r="E82" s="36">
        <v>9.01</v>
      </c>
      <c r="F82" s="36">
        <v>2.08</v>
      </c>
    </row>
    <row r="83" ht="15.75" customHeight="1">
      <c r="B83" s="36">
        <v>9.02</v>
      </c>
      <c r="C83" s="36">
        <v>4.4</v>
      </c>
      <c r="D83" s="36">
        <v>6.16</v>
      </c>
      <c r="E83" s="36">
        <v>8.41</v>
      </c>
      <c r="F83" s="36">
        <v>9.01</v>
      </c>
    </row>
    <row r="84" ht="15.75" customHeight="1">
      <c r="B84" s="36">
        <v>6.22</v>
      </c>
      <c r="C84" s="36">
        <v>5.05</v>
      </c>
      <c r="D84" s="36">
        <v>0.54</v>
      </c>
      <c r="E84" s="36">
        <v>9.01</v>
      </c>
      <c r="F84" s="36">
        <v>4.68</v>
      </c>
    </row>
    <row r="85" ht="15.75" customHeight="1">
      <c r="B85" s="36">
        <v>9.01</v>
      </c>
      <c r="C85" s="36">
        <v>5.85</v>
      </c>
      <c r="D85" s="36">
        <v>1.62</v>
      </c>
      <c r="E85" s="36">
        <v>9.03</v>
      </c>
      <c r="F85" s="36">
        <v>9.01</v>
      </c>
    </row>
    <row r="86" ht="15.75" customHeight="1">
      <c r="B86" s="36">
        <v>6.57</v>
      </c>
      <c r="C86" s="36">
        <v>5.08</v>
      </c>
      <c r="D86" s="36">
        <v>0.72</v>
      </c>
      <c r="E86" s="36">
        <v>9.02</v>
      </c>
      <c r="F86" s="36">
        <v>2.27</v>
      </c>
    </row>
    <row r="87" ht="15.75" customHeight="1">
      <c r="B87" s="36">
        <v>9.01</v>
      </c>
      <c r="C87" s="36">
        <v>5.09</v>
      </c>
      <c r="D87" s="36">
        <v>1.47</v>
      </c>
      <c r="E87" s="36">
        <v>9.02</v>
      </c>
      <c r="F87" s="36">
        <v>9.02</v>
      </c>
    </row>
    <row r="88" ht="15.75" customHeight="1">
      <c r="B88" s="36">
        <v>9.01</v>
      </c>
      <c r="C88" s="36">
        <v>5.45</v>
      </c>
      <c r="D88" s="36">
        <v>4.27</v>
      </c>
      <c r="E88" s="36">
        <v>9.0</v>
      </c>
      <c r="F88" s="36">
        <v>9.03</v>
      </c>
    </row>
    <row r="89" ht="15.75" customHeight="1">
      <c r="B89" s="36">
        <v>5.55</v>
      </c>
      <c r="C89" s="36">
        <v>5.05</v>
      </c>
      <c r="D89" s="36">
        <v>2.04</v>
      </c>
      <c r="E89" s="36">
        <v>8.82</v>
      </c>
      <c r="F89" s="36">
        <v>9.01</v>
      </c>
    </row>
    <row r="90" ht="15.75" customHeight="1">
      <c r="B90" s="36">
        <v>8.12</v>
      </c>
      <c r="C90" s="36">
        <v>6.01</v>
      </c>
      <c r="D90" s="36">
        <v>1.12</v>
      </c>
      <c r="E90" s="36">
        <v>9.03</v>
      </c>
      <c r="F90" s="36">
        <v>7.77</v>
      </c>
    </row>
    <row r="91" ht="15.75" customHeight="1">
      <c r="B91" s="36">
        <v>9.0</v>
      </c>
      <c r="C91" s="36">
        <v>4.8</v>
      </c>
      <c r="D91" s="36">
        <v>1.34</v>
      </c>
      <c r="E91" s="36">
        <v>8.96</v>
      </c>
      <c r="F91" s="36">
        <v>9.0</v>
      </c>
    </row>
    <row r="92" ht="15.75" customHeight="1">
      <c r="B92" s="36">
        <v>7.64</v>
      </c>
      <c r="C92" s="36">
        <v>9.02</v>
      </c>
      <c r="D92" s="36">
        <v>6.13</v>
      </c>
      <c r="E92" s="36">
        <v>9.01</v>
      </c>
      <c r="F92" s="36">
        <v>4.04</v>
      </c>
    </row>
    <row r="93" ht="15.75" customHeight="1">
      <c r="B93" s="36">
        <v>9.02</v>
      </c>
      <c r="C93" s="36">
        <v>6.43</v>
      </c>
      <c r="D93" s="36">
        <v>6.51</v>
      </c>
      <c r="E93" s="36">
        <v>9.02</v>
      </c>
      <c r="F93" s="36">
        <v>9.01</v>
      </c>
    </row>
    <row r="94" ht="15.75" customHeight="1">
      <c r="B94" s="36">
        <v>9.03</v>
      </c>
      <c r="C94" s="36">
        <v>2.08</v>
      </c>
      <c r="D94" s="36">
        <v>0.88</v>
      </c>
      <c r="E94" s="36">
        <v>9.04</v>
      </c>
      <c r="F94" s="36">
        <v>9.01</v>
      </c>
    </row>
    <row r="95" ht="15.75" customHeight="1">
      <c r="B95" s="36">
        <v>8.93</v>
      </c>
      <c r="C95" s="36">
        <v>4.8</v>
      </c>
      <c r="D95" s="36">
        <v>3.03</v>
      </c>
      <c r="E95" s="36">
        <v>9.01</v>
      </c>
      <c r="F95" s="36">
        <v>2.6</v>
      </c>
    </row>
    <row r="96" ht="15.75" customHeight="1">
      <c r="B96" s="36">
        <v>9.03</v>
      </c>
      <c r="C96" s="36">
        <v>4.6</v>
      </c>
      <c r="D96" s="36">
        <v>1.25</v>
      </c>
      <c r="E96" s="36">
        <v>9.01</v>
      </c>
      <c r="F96" s="36">
        <v>1.41</v>
      </c>
    </row>
    <row r="97" ht="15.75" customHeight="1">
      <c r="B97" s="36">
        <v>9.01</v>
      </c>
      <c r="C97" s="36">
        <v>4.36</v>
      </c>
      <c r="D97" s="36">
        <v>2.65</v>
      </c>
      <c r="E97" s="36">
        <v>8.12</v>
      </c>
      <c r="F97" s="36">
        <v>6.32</v>
      </c>
    </row>
    <row r="98" ht="15.75" customHeight="1">
      <c r="B98" s="36">
        <v>9.0</v>
      </c>
      <c r="C98" s="36">
        <v>5.37</v>
      </c>
      <c r="D98" s="36">
        <v>1.15</v>
      </c>
      <c r="E98" s="36">
        <v>9.01</v>
      </c>
      <c r="F98" s="36">
        <v>5.74</v>
      </c>
    </row>
    <row r="99" ht="15.75" customHeight="1">
      <c r="B99" s="36">
        <v>4.76</v>
      </c>
      <c r="C99" s="36">
        <v>2.05</v>
      </c>
      <c r="D99" s="36">
        <v>1.69</v>
      </c>
      <c r="E99" s="36">
        <v>9.03</v>
      </c>
      <c r="F99" s="36">
        <v>7.6</v>
      </c>
    </row>
    <row r="100" ht="15.75" customHeight="1">
      <c r="B100" s="36">
        <v>9.01</v>
      </c>
      <c r="C100" s="36">
        <v>6.16</v>
      </c>
      <c r="D100" s="36">
        <v>0.93</v>
      </c>
      <c r="E100" s="36">
        <v>9.01</v>
      </c>
      <c r="F100" s="36">
        <v>2.15</v>
      </c>
    </row>
    <row r="101" ht="15.75" customHeight="1">
      <c r="B101" s="36">
        <v>9.03</v>
      </c>
      <c r="C101" s="36">
        <v>3.69</v>
      </c>
      <c r="D101" s="36">
        <v>3.86</v>
      </c>
      <c r="E101" s="36">
        <v>9.02</v>
      </c>
      <c r="F101" s="36">
        <v>9.03</v>
      </c>
    </row>
    <row r="102" ht="15.75" customHeight="1">
      <c r="B102" s="36">
        <v>4.38</v>
      </c>
      <c r="C102" s="36">
        <v>6.18</v>
      </c>
      <c r="D102" s="36">
        <v>4.25</v>
      </c>
      <c r="E102" s="36">
        <v>9.02</v>
      </c>
      <c r="F102" s="36">
        <v>9.02</v>
      </c>
    </row>
    <row r="103" ht="15.75" customHeight="1">
      <c r="B103" s="37">
        <v>8.79</v>
      </c>
      <c r="C103" s="37">
        <v>3.6</v>
      </c>
      <c r="D103" s="37">
        <v>3.01</v>
      </c>
      <c r="E103" s="37">
        <v>9.01</v>
      </c>
      <c r="F103" s="37">
        <v>8.63</v>
      </c>
    </row>
    <row r="104" ht="15.75" customHeight="1"/>
    <row r="105" ht="15.75" customHeight="1"/>
    <row r="106" ht="15.75" customHeight="1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 ht="15.75" customHeight="1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 ht="15.75" customHeight="1">
      <c r="B108" s="40" t="s">
        <v>8</v>
      </c>
      <c r="C108" s="41">
        <v>7.8237</v>
      </c>
      <c r="D108" s="41">
        <v>1.7674</v>
      </c>
      <c r="E108" s="41">
        <v>9.0</v>
      </c>
      <c r="F108" s="41">
        <v>7.4773</v>
      </c>
      <c r="G108" s="41">
        <v>8.1701</v>
      </c>
      <c r="H108" s="42">
        <v>2.29</v>
      </c>
      <c r="I108" s="42">
        <v>9.04</v>
      </c>
      <c r="J108" s="43">
        <v>22.6</v>
      </c>
    </row>
    <row r="109" ht="15.75" customHeight="1">
      <c r="B109" s="40" t="s">
        <v>12</v>
      </c>
      <c r="C109" s="41">
        <v>4.8862</v>
      </c>
      <c r="D109" s="41">
        <v>1.6056</v>
      </c>
      <c r="E109" s="41">
        <v>5.105</v>
      </c>
      <c r="F109" s="41">
        <v>4.5715</v>
      </c>
      <c r="G109" s="41">
        <v>5.2009</v>
      </c>
      <c r="H109" s="42">
        <v>0.71</v>
      </c>
      <c r="I109" s="42">
        <v>9.02</v>
      </c>
      <c r="J109" s="43">
        <v>32.9</v>
      </c>
    </row>
    <row r="110" ht="15.75" customHeight="1">
      <c r="B110" s="40" t="s">
        <v>9</v>
      </c>
      <c r="C110" s="41">
        <v>2.6985</v>
      </c>
      <c r="D110" s="41">
        <v>2.0558</v>
      </c>
      <c r="E110" s="41">
        <v>1.89</v>
      </c>
      <c r="F110" s="41">
        <v>2.2956</v>
      </c>
      <c r="G110" s="41">
        <v>3.1014</v>
      </c>
      <c r="H110" s="42">
        <v>-0.01</v>
      </c>
      <c r="I110" s="42">
        <v>9.05</v>
      </c>
      <c r="J110" s="43">
        <v>76.2</v>
      </c>
    </row>
    <row r="111" ht="15.75" customHeight="1">
      <c r="B111" s="40" t="s">
        <v>11</v>
      </c>
      <c r="C111" s="41">
        <v>8.653</v>
      </c>
      <c r="D111" s="41">
        <v>1.0356</v>
      </c>
      <c r="E111" s="41">
        <v>9.01</v>
      </c>
      <c r="F111" s="41">
        <v>8.45</v>
      </c>
      <c r="G111" s="41">
        <v>8.856</v>
      </c>
      <c r="H111" s="42">
        <v>3.15</v>
      </c>
      <c r="I111" s="42">
        <v>9.05</v>
      </c>
      <c r="J111" s="43">
        <v>12.0</v>
      </c>
    </row>
    <row r="112" ht="15.75" customHeight="1">
      <c r="B112" s="44" t="s">
        <v>10</v>
      </c>
      <c r="C112" s="45">
        <v>6.234</v>
      </c>
      <c r="D112" s="45">
        <v>2.9616</v>
      </c>
      <c r="E112" s="45">
        <v>7.64</v>
      </c>
      <c r="F112" s="45">
        <v>5.6535</v>
      </c>
      <c r="G112" s="45">
        <v>6.8145</v>
      </c>
      <c r="H112" s="46">
        <v>1.26</v>
      </c>
      <c r="I112" s="47">
        <v>9.03</v>
      </c>
      <c r="J112" s="48">
        <v>47.5</v>
      </c>
    </row>
    <row r="113" ht="15.75" customHeight="1">
      <c r="B113" s="40"/>
      <c r="C113" s="41"/>
      <c r="D113" s="41"/>
      <c r="E113" s="41"/>
      <c r="F113" s="41"/>
      <c r="G113" s="41"/>
      <c r="H113" s="42"/>
      <c r="I113" s="42"/>
      <c r="J113" s="43"/>
    </row>
    <row r="114" ht="15.75" customHeight="1">
      <c r="B114" s="49"/>
      <c r="C114" s="49"/>
      <c r="D114" s="49"/>
      <c r="E114" s="49"/>
      <c r="F114" s="49"/>
      <c r="G114" s="49"/>
      <c r="H114" s="49"/>
      <c r="I114" s="49"/>
      <c r="J114" s="49"/>
    </row>
    <row r="115" ht="15.75" customHeight="1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 ht="15.75" customHeight="1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 ht="15.75" customHeight="1">
      <c r="B117" s="45">
        <v>28.1052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 ht="15.75" customHeight="1">
      <c r="B118" s="41"/>
      <c r="C118" s="42"/>
      <c r="D118" s="52"/>
      <c r="E118" s="49"/>
      <c r="F118" s="49"/>
      <c r="G118" s="49"/>
      <c r="H118" s="49"/>
      <c r="I118" s="49"/>
      <c r="J118" s="49"/>
    </row>
    <row r="119" ht="15.75" customHeight="1">
      <c r="B119" s="49"/>
      <c r="C119" s="49"/>
      <c r="D119" s="49"/>
      <c r="E119" s="49"/>
      <c r="F119" s="49"/>
      <c r="G119" s="49"/>
      <c r="H119" s="49"/>
      <c r="I119" s="49"/>
      <c r="J119" s="49"/>
    </row>
    <row r="120" ht="15.75" customHeight="1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 ht="15.75" customHeight="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 ht="15.75" customHeight="1">
      <c r="B122" s="47">
        <v>221.5479</v>
      </c>
      <c r="C122" s="47">
        <v>4.0</v>
      </c>
      <c r="D122" s="47">
        <v>10.0</v>
      </c>
      <c r="E122" s="50" t="s">
        <v>35</v>
      </c>
      <c r="F122" s="51" t="s">
        <v>41</v>
      </c>
      <c r="G122" s="49"/>
      <c r="H122" s="49"/>
      <c r="I122" s="49"/>
      <c r="J122" s="49"/>
    </row>
    <row r="123" ht="15.75" customHeight="1">
      <c r="B123" s="42"/>
      <c r="C123" s="42"/>
      <c r="D123" s="42"/>
      <c r="E123" s="42"/>
      <c r="F123" s="52"/>
      <c r="G123" s="49"/>
      <c r="H123" s="49"/>
      <c r="I123" s="49"/>
      <c r="J123" s="49"/>
    </row>
    <row r="124" ht="15.75" customHeight="1">
      <c r="B124" s="49"/>
      <c r="C124" s="49"/>
      <c r="D124" s="49"/>
      <c r="E124" s="49"/>
      <c r="F124" s="49"/>
      <c r="G124" s="49"/>
      <c r="H124" s="49"/>
      <c r="I124" s="49"/>
      <c r="J124" s="49"/>
    </row>
    <row r="125" ht="15.75" customHeight="1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 ht="15.75" customHeight="1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 ht="15.75" customHeight="1">
      <c r="B127" s="40" t="s">
        <v>8</v>
      </c>
      <c r="C127" s="40" t="s">
        <v>12</v>
      </c>
      <c r="D127" s="41">
        <v>2.9375</v>
      </c>
      <c r="E127" s="41">
        <v>0.2388</v>
      </c>
      <c r="F127" s="41">
        <v>2.4666</v>
      </c>
      <c r="G127" s="41">
        <v>3.4084</v>
      </c>
      <c r="H127" s="53" t="s">
        <v>35</v>
      </c>
      <c r="I127" s="52" t="s">
        <v>48</v>
      </c>
      <c r="J127" s="49"/>
    </row>
    <row r="128" ht="15.75" customHeight="1">
      <c r="B128" s="40" t="s">
        <v>8</v>
      </c>
      <c r="C128" s="40" t="s">
        <v>9</v>
      </c>
      <c r="D128" s="41">
        <v>5.1252</v>
      </c>
      <c r="E128" s="41">
        <v>0.2711</v>
      </c>
      <c r="F128" s="41">
        <v>4.5905</v>
      </c>
      <c r="G128" s="41">
        <v>5.6599</v>
      </c>
      <c r="H128" s="53" t="s">
        <v>35</v>
      </c>
      <c r="I128" s="52" t="s">
        <v>48</v>
      </c>
      <c r="J128" s="49"/>
    </row>
    <row r="129" ht="15.75" customHeight="1">
      <c r="B129" s="40" t="s">
        <v>8</v>
      </c>
      <c r="C129" s="40" t="s">
        <v>11</v>
      </c>
      <c r="D129" s="41">
        <v>-0.8293</v>
      </c>
      <c r="E129" s="41">
        <v>0.2048</v>
      </c>
      <c r="F129" s="41">
        <v>-1.2339</v>
      </c>
      <c r="G129" s="41">
        <v>-0.4247</v>
      </c>
      <c r="H129" s="53" t="s">
        <v>35</v>
      </c>
      <c r="I129" s="52" t="s">
        <v>48</v>
      </c>
      <c r="J129" s="49"/>
    </row>
    <row r="130" ht="15.75" customHeight="1">
      <c r="B130" s="40" t="s">
        <v>8</v>
      </c>
      <c r="C130" s="40" t="s">
        <v>10</v>
      </c>
      <c r="D130" s="41">
        <v>1.5897</v>
      </c>
      <c r="E130" s="41">
        <v>0.3449</v>
      </c>
      <c r="F130" s="41">
        <v>0.9086</v>
      </c>
      <c r="G130" s="41">
        <v>2.2708</v>
      </c>
      <c r="H130" s="53" t="s">
        <v>35</v>
      </c>
      <c r="I130" s="52" t="s">
        <v>48</v>
      </c>
      <c r="J130" s="49"/>
    </row>
    <row r="131" ht="15.75" customHeight="1">
      <c r="B131" s="40" t="s">
        <v>12</v>
      </c>
      <c r="C131" s="40" t="s">
        <v>9</v>
      </c>
      <c r="D131" s="41">
        <v>2.1877</v>
      </c>
      <c r="E131" s="41">
        <v>0.2609</v>
      </c>
      <c r="F131" s="41">
        <v>1.6731</v>
      </c>
      <c r="G131" s="41">
        <v>2.7023</v>
      </c>
      <c r="H131" s="53" t="s">
        <v>35</v>
      </c>
      <c r="I131" s="52" t="s">
        <v>48</v>
      </c>
      <c r="J131" s="49"/>
    </row>
    <row r="132" ht="15.75" customHeight="1">
      <c r="B132" s="40" t="s">
        <v>12</v>
      </c>
      <c r="C132" s="40" t="s">
        <v>11</v>
      </c>
      <c r="D132" s="41">
        <v>-3.7668</v>
      </c>
      <c r="E132" s="41">
        <v>0.1911</v>
      </c>
      <c r="F132" s="41">
        <v>-4.144</v>
      </c>
      <c r="G132" s="41">
        <v>-3.3896</v>
      </c>
      <c r="H132" s="53" t="s">
        <v>35</v>
      </c>
      <c r="I132" s="52" t="s">
        <v>48</v>
      </c>
      <c r="J132" s="49"/>
    </row>
    <row r="133" ht="15.75" customHeight="1">
      <c r="B133" s="40" t="s">
        <v>12</v>
      </c>
      <c r="C133" s="40" t="s">
        <v>10</v>
      </c>
      <c r="D133" s="41">
        <v>-1.3478</v>
      </c>
      <c r="E133" s="41">
        <v>0.3369</v>
      </c>
      <c r="F133" s="41">
        <v>-2.0134</v>
      </c>
      <c r="G133" s="41">
        <v>-0.6822</v>
      </c>
      <c r="H133" s="53" t="s">
        <v>35</v>
      </c>
      <c r="I133" s="52" t="s">
        <v>48</v>
      </c>
      <c r="J133" s="49"/>
    </row>
    <row r="134" ht="15.75" customHeight="1">
      <c r="B134" s="40" t="s">
        <v>9</v>
      </c>
      <c r="C134" s="40" t="s">
        <v>11</v>
      </c>
      <c r="D134" s="41">
        <v>-5.9545</v>
      </c>
      <c r="E134" s="41">
        <v>0.2302</v>
      </c>
      <c r="F134" s="41">
        <v>-6.4094</v>
      </c>
      <c r="G134" s="41">
        <v>-5.4996</v>
      </c>
      <c r="H134" s="53" t="s">
        <v>35</v>
      </c>
      <c r="I134" s="52" t="s">
        <v>48</v>
      </c>
      <c r="J134" s="49"/>
    </row>
    <row r="135" ht="15.75" customHeight="1">
      <c r="B135" s="40" t="s">
        <v>9</v>
      </c>
      <c r="C135" s="40" t="s">
        <v>10</v>
      </c>
      <c r="D135" s="41">
        <v>-3.5355</v>
      </c>
      <c r="E135" s="41">
        <v>0.3605</v>
      </c>
      <c r="F135" s="41">
        <v>-4.247</v>
      </c>
      <c r="G135" s="41">
        <v>-2.824</v>
      </c>
      <c r="H135" s="53" t="s">
        <v>35</v>
      </c>
      <c r="I135" s="52" t="s">
        <v>48</v>
      </c>
      <c r="J135" s="49"/>
    </row>
    <row r="136" ht="15.75" customHeight="1">
      <c r="B136" s="44" t="s">
        <v>11</v>
      </c>
      <c r="C136" s="44" t="s">
        <v>10</v>
      </c>
      <c r="D136" s="45">
        <v>2.419</v>
      </c>
      <c r="E136" s="45">
        <v>0.3137</v>
      </c>
      <c r="F136" s="45">
        <v>1.798</v>
      </c>
      <c r="G136" s="45">
        <v>3.04</v>
      </c>
      <c r="H136" s="54" t="s">
        <v>35</v>
      </c>
      <c r="I136" s="51" t="s">
        <v>48</v>
      </c>
      <c r="J136" s="49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5">
    <mergeCell ref="B2:F2"/>
    <mergeCell ref="B106:J106"/>
    <mergeCell ref="B115:D115"/>
    <mergeCell ref="B120:F120"/>
    <mergeCell ref="B125:I1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0"/>
    <col customWidth="1" min="3" max="3" width="11.88"/>
    <col customWidth="1" min="4" max="4" width="15.88"/>
    <col customWidth="1" min="5" max="5" width="11.88"/>
    <col customWidth="1" min="6" max="6" width="13.88"/>
    <col customWidth="1" min="7" max="7" width="15.13"/>
    <col customWidth="1" min="8" max="10" width="11.88"/>
    <col customWidth="1" min="11" max="26" width="8.63"/>
  </cols>
  <sheetData>
    <row r="2">
      <c r="B2" s="33" t="s">
        <v>51</v>
      </c>
      <c r="C2" s="34"/>
      <c r="D2" s="34"/>
      <c r="E2" s="34"/>
      <c r="F2" s="34"/>
    </row>
    <row r="3">
      <c r="B3" s="35" t="s">
        <v>8</v>
      </c>
      <c r="C3" s="35" t="s">
        <v>7</v>
      </c>
      <c r="D3" s="35" t="s">
        <v>9</v>
      </c>
      <c r="E3" s="35" t="s">
        <v>11</v>
      </c>
      <c r="F3" s="35" t="s">
        <v>10</v>
      </c>
    </row>
    <row r="4">
      <c r="B4" s="36">
        <v>9.0</v>
      </c>
      <c r="C4" s="36">
        <v>2.07</v>
      </c>
      <c r="D4" s="36">
        <v>2.43</v>
      </c>
      <c r="E4" s="36">
        <v>9.03</v>
      </c>
      <c r="F4" s="36">
        <v>4.48</v>
      </c>
    </row>
    <row r="5">
      <c r="B5" s="36">
        <v>9.02</v>
      </c>
      <c r="C5" s="36">
        <v>1.38</v>
      </c>
      <c r="D5" s="36">
        <v>2.67</v>
      </c>
      <c r="E5" s="36">
        <v>9.03</v>
      </c>
      <c r="F5" s="36">
        <v>3.0</v>
      </c>
    </row>
    <row r="6">
      <c r="B6" s="36">
        <v>2.63</v>
      </c>
      <c r="C6" s="36">
        <v>2.92</v>
      </c>
      <c r="D6" s="36">
        <v>3.3</v>
      </c>
      <c r="E6" s="36">
        <v>9.01</v>
      </c>
      <c r="F6" s="36">
        <v>5.28</v>
      </c>
    </row>
    <row r="7">
      <c r="B7" s="36">
        <v>9.02</v>
      </c>
      <c r="C7" s="36">
        <v>7.48</v>
      </c>
      <c r="D7" s="36">
        <v>0.9</v>
      </c>
      <c r="E7" s="36">
        <v>8.72</v>
      </c>
      <c r="F7" s="36">
        <v>9.02</v>
      </c>
    </row>
    <row r="8">
      <c r="B8" s="36">
        <v>6.81</v>
      </c>
      <c r="C8" s="36">
        <v>6.35</v>
      </c>
      <c r="D8" s="36">
        <v>0.94</v>
      </c>
      <c r="E8" s="36">
        <v>3.16</v>
      </c>
      <c r="F8" s="36">
        <v>9.0</v>
      </c>
    </row>
    <row r="9">
      <c r="B9" s="36">
        <v>9.02</v>
      </c>
      <c r="C9" s="36">
        <v>0.07</v>
      </c>
      <c r="D9" s="36">
        <v>9.01</v>
      </c>
      <c r="E9" s="36">
        <v>9.03</v>
      </c>
      <c r="F9" s="36">
        <v>3.52</v>
      </c>
    </row>
    <row r="10">
      <c r="B10" s="36">
        <v>4.3</v>
      </c>
      <c r="C10" s="36">
        <v>7.37</v>
      </c>
      <c r="D10" s="36">
        <v>1.36</v>
      </c>
      <c r="E10" s="36">
        <v>8.34</v>
      </c>
      <c r="F10" s="36">
        <v>3.53</v>
      </c>
    </row>
    <row r="11">
      <c r="B11" s="36">
        <v>7.07</v>
      </c>
      <c r="C11" s="36">
        <v>6.58</v>
      </c>
      <c r="D11" s="36">
        <v>1.03</v>
      </c>
      <c r="E11" s="36">
        <v>9.02</v>
      </c>
      <c r="F11" s="36">
        <v>4.02</v>
      </c>
    </row>
    <row r="12">
      <c r="B12" s="36">
        <v>9.02</v>
      </c>
      <c r="C12" s="36">
        <v>6.03</v>
      </c>
      <c r="D12" s="36">
        <v>0.96</v>
      </c>
      <c r="E12" s="36">
        <v>9.0</v>
      </c>
      <c r="F12" s="36">
        <v>4.15</v>
      </c>
    </row>
    <row r="13">
      <c r="B13" s="36">
        <v>5.04</v>
      </c>
      <c r="C13" s="36">
        <v>3.58</v>
      </c>
      <c r="D13" s="36">
        <v>2.68</v>
      </c>
      <c r="E13" s="36">
        <v>9.06</v>
      </c>
      <c r="F13" s="36">
        <v>2.8</v>
      </c>
    </row>
    <row r="14">
      <c r="B14" s="36">
        <v>9.01</v>
      </c>
      <c r="C14" s="36">
        <v>4.01</v>
      </c>
      <c r="D14" s="36">
        <v>6.78</v>
      </c>
      <c r="E14" s="36">
        <v>9.0</v>
      </c>
      <c r="F14" s="36">
        <v>3.01</v>
      </c>
    </row>
    <row r="15">
      <c r="B15" s="36">
        <v>2.78</v>
      </c>
      <c r="C15" s="36">
        <v>1.38</v>
      </c>
      <c r="D15" s="36">
        <v>2.64</v>
      </c>
      <c r="E15" s="36">
        <v>9.04</v>
      </c>
      <c r="F15" s="36">
        <v>9.01</v>
      </c>
    </row>
    <row r="16">
      <c r="B16" s="36">
        <v>3.48</v>
      </c>
      <c r="C16" s="36">
        <v>4.22</v>
      </c>
      <c r="D16" s="36">
        <v>1.74</v>
      </c>
      <c r="E16" s="36">
        <v>9.02</v>
      </c>
      <c r="F16" s="36">
        <v>9.01</v>
      </c>
    </row>
    <row r="17">
      <c r="B17" s="36">
        <v>1.27</v>
      </c>
      <c r="C17" s="36">
        <v>2.35</v>
      </c>
      <c r="D17" s="36">
        <v>3.77</v>
      </c>
      <c r="E17" s="36">
        <v>9.01</v>
      </c>
      <c r="F17" s="36">
        <v>6.13</v>
      </c>
    </row>
    <row r="18">
      <c r="B18" s="36">
        <v>9.0</v>
      </c>
      <c r="C18" s="36">
        <v>4.19</v>
      </c>
      <c r="D18" s="36">
        <v>2.06</v>
      </c>
      <c r="E18" s="36">
        <v>8.34</v>
      </c>
      <c r="F18" s="36">
        <v>9.01</v>
      </c>
    </row>
    <row r="19">
      <c r="B19" s="36">
        <v>6.91</v>
      </c>
      <c r="C19" s="36">
        <v>2.16</v>
      </c>
      <c r="D19" s="36">
        <v>1.38</v>
      </c>
      <c r="E19" s="36">
        <v>9.03</v>
      </c>
      <c r="F19" s="36">
        <v>2.71</v>
      </c>
    </row>
    <row r="20">
      <c r="B20" s="36">
        <v>5.55</v>
      </c>
      <c r="C20" s="36">
        <v>1.19</v>
      </c>
      <c r="D20" s="36">
        <v>5.97</v>
      </c>
      <c r="E20" s="36">
        <v>8.22</v>
      </c>
      <c r="F20" s="36">
        <v>3.75</v>
      </c>
    </row>
    <row r="21" ht="15.75" customHeight="1">
      <c r="B21" s="36">
        <v>9.01</v>
      </c>
      <c r="C21" s="36">
        <v>7.23</v>
      </c>
      <c r="D21" s="36">
        <v>2.62</v>
      </c>
      <c r="E21" s="36">
        <v>8.54</v>
      </c>
      <c r="F21" s="36">
        <v>9.02</v>
      </c>
    </row>
    <row r="22" ht="15.75" customHeight="1">
      <c r="B22" s="36">
        <v>1.8</v>
      </c>
      <c r="C22" s="36">
        <v>5.3</v>
      </c>
      <c r="D22" s="36">
        <v>8.76</v>
      </c>
      <c r="E22" s="36">
        <v>9.03</v>
      </c>
      <c r="F22" s="36">
        <v>3.28</v>
      </c>
    </row>
    <row r="23" ht="15.75" customHeight="1">
      <c r="B23" s="36">
        <v>9.02</v>
      </c>
      <c r="C23" s="36">
        <v>6.07</v>
      </c>
      <c r="D23" s="36">
        <v>2.77</v>
      </c>
      <c r="E23" s="36">
        <v>8.88</v>
      </c>
      <c r="F23" s="36">
        <v>4.23</v>
      </c>
    </row>
    <row r="24" ht="15.75" customHeight="1">
      <c r="B24" s="36">
        <v>3.06</v>
      </c>
      <c r="C24" s="36">
        <v>6.37</v>
      </c>
      <c r="D24" s="36">
        <v>0.89</v>
      </c>
      <c r="E24" s="36">
        <v>9.01</v>
      </c>
      <c r="F24" s="36">
        <v>3.75</v>
      </c>
    </row>
    <row r="25" ht="15.75" customHeight="1">
      <c r="B25" s="36">
        <v>6.89</v>
      </c>
      <c r="C25" s="36">
        <v>2.24</v>
      </c>
      <c r="D25" s="36">
        <v>1.78</v>
      </c>
      <c r="E25" s="36">
        <v>9.01</v>
      </c>
      <c r="F25" s="36">
        <v>3.57</v>
      </c>
    </row>
    <row r="26" ht="15.75" customHeight="1">
      <c r="B26" s="36">
        <v>9.01</v>
      </c>
      <c r="C26" s="36">
        <v>7.93</v>
      </c>
      <c r="D26" s="36">
        <v>9.02</v>
      </c>
      <c r="E26" s="36">
        <v>9.03</v>
      </c>
      <c r="F26" s="36">
        <v>5.49</v>
      </c>
    </row>
    <row r="27" ht="15.75" customHeight="1">
      <c r="B27" s="36">
        <v>4.86</v>
      </c>
      <c r="C27" s="36">
        <v>0.43</v>
      </c>
      <c r="D27" s="36">
        <v>5.83</v>
      </c>
      <c r="E27" s="36">
        <v>8.25</v>
      </c>
      <c r="F27" s="36">
        <v>3.3</v>
      </c>
    </row>
    <row r="28" ht="15.75" customHeight="1">
      <c r="B28" s="36">
        <v>4.27</v>
      </c>
      <c r="C28" s="36">
        <v>0.46</v>
      </c>
      <c r="D28" s="36">
        <v>2.3</v>
      </c>
      <c r="E28" s="36">
        <v>9.03</v>
      </c>
      <c r="F28" s="36">
        <v>9.02</v>
      </c>
    </row>
    <row r="29" ht="15.75" customHeight="1">
      <c r="B29" s="36">
        <v>5.96</v>
      </c>
      <c r="C29" s="36">
        <v>3.26</v>
      </c>
      <c r="D29" s="36">
        <v>1.82</v>
      </c>
      <c r="E29" s="36">
        <v>9.03</v>
      </c>
      <c r="F29" s="36">
        <v>4.74</v>
      </c>
    </row>
    <row r="30" ht="15.75" customHeight="1">
      <c r="B30" s="36">
        <v>9.02</v>
      </c>
      <c r="C30" s="36">
        <v>3.16</v>
      </c>
      <c r="D30" s="36">
        <v>4.23</v>
      </c>
      <c r="E30" s="36">
        <v>9.01</v>
      </c>
      <c r="F30" s="36">
        <v>2.68</v>
      </c>
    </row>
    <row r="31" ht="15.75" customHeight="1">
      <c r="B31" s="36">
        <v>7.4</v>
      </c>
      <c r="C31" s="36">
        <v>1.57</v>
      </c>
      <c r="D31" s="36">
        <v>6.6</v>
      </c>
      <c r="E31" s="36">
        <v>8.81</v>
      </c>
      <c r="F31" s="36">
        <v>9.02</v>
      </c>
    </row>
    <row r="32" ht="15.75" customHeight="1">
      <c r="B32" s="36">
        <v>5.83</v>
      </c>
      <c r="C32" s="36">
        <v>3.45</v>
      </c>
      <c r="D32" s="36">
        <v>2.07</v>
      </c>
      <c r="E32" s="36">
        <v>9.03</v>
      </c>
      <c r="F32" s="36">
        <v>3.03</v>
      </c>
    </row>
    <row r="33" ht="15.75" customHeight="1">
      <c r="B33" s="36">
        <v>4.47</v>
      </c>
      <c r="C33" s="36">
        <v>5.31</v>
      </c>
      <c r="D33" s="36">
        <v>1.35</v>
      </c>
      <c r="E33" s="36">
        <v>9.01</v>
      </c>
      <c r="F33" s="36">
        <v>8.44</v>
      </c>
    </row>
    <row r="34" ht="15.75" customHeight="1">
      <c r="B34" s="36">
        <v>6.09</v>
      </c>
      <c r="C34" s="36">
        <v>1.55</v>
      </c>
      <c r="D34" s="36">
        <v>1.46</v>
      </c>
      <c r="E34" s="36">
        <v>8.12</v>
      </c>
      <c r="F34" s="36">
        <v>9.0</v>
      </c>
    </row>
    <row r="35" ht="15.75" customHeight="1">
      <c r="B35" s="36">
        <v>3.78</v>
      </c>
      <c r="C35" s="36">
        <v>7.21</v>
      </c>
      <c r="D35" s="36">
        <v>0.86</v>
      </c>
      <c r="E35" s="36">
        <v>9.01</v>
      </c>
      <c r="F35" s="36">
        <v>2.48</v>
      </c>
    </row>
    <row r="36" ht="15.75" customHeight="1">
      <c r="B36" s="36">
        <v>6.78</v>
      </c>
      <c r="C36" s="36">
        <v>2.17</v>
      </c>
      <c r="D36" s="36">
        <v>0.71</v>
      </c>
      <c r="E36" s="36">
        <v>9.0</v>
      </c>
      <c r="F36" s="36">
        <v>9.03</v>
      </c>
    </row>
    <row r="37" ht="15.75" customHeight="1">
      <c r="B37" s="36">
        <v>9.02</v>
      </c>
      <c r="C37" s="36">
        <v>1.67</v>
      </c>
      <c r="D37" s="36">
        <v>2.16</v>
      </c>
      <c r="E37" s="36">
        <v>9.03</v>
      </c>
      <c r="F37" s="36">
        <v>3.37</v>
      </c>
    </row>
    <row r="38" ht="15.75" customHeight="1">
      <c r="B38" s="36">
        <v>9.03</v>
      </c>
      <c r="C38" s="36">
        <v>5.79</v>
      </c>
      <c r="D38" s="36">
        <v>0.82</v>
      </c>
      <c r="E38" s="36">
        <v>9.04</v>
      </c>
      <c r="F38" s="36">
        <v>3.04</v>
      </c>
    </row>
    <row r="39" ht="15.75" customHeight="1">
      <c r="B39" s="36">
        <v>6.79</v>
      </c>
      <c r="C39" s="36">
        <v>4.71</v>
      </c>
      <c r="D39" s="36">
        <v>2.22</v>
      </c>
      <c r="E39" s="36">
        <v>9.0</v>
      </c>
      <c r="F39" s="36">
        <v>2.65</v>
      </c>
    </row>
    <row r="40" ht="15.75" customHeight="1">
      <c r="B40" s="36">
        <v>7.2</v>
      </c>
      <c r="C40" s="36">
        <v>7.88</v>
      </c>
      <c r="D40" s="36">
        <v>1.91</v>
      </c>
      <c r="E40" s="36">
        <v>9.03</v>
      </c>
      <c r="F40" s="36">
        <v>4.59</v>
      </c>
    </row>
    <row r="41" ht="15.75" customHeight="1">
      <c r="B41" s="36">
        <v>4.34</v>
      </c>
      <c r="C41" s="36">
        <v>1.68</v>
      </c>
      <c r="D41" s="36">
        <v>1.67</v>
      </c>
      <c r="E41" s="36">
        <v>9.01</v>
      </c>
      <c r="F41" s="36">
        <v>3.81</v>
      </c>
    </row>
    <row r="42" ht="15.75" customHeight="1">
      <c r="B42" s="36">
        <v>9.02</v>
      </c>
      <c r="C42" s="36">
        <v>1.94</v>
      </c>
      <c r="D42" s="36">
        <v>5.21</v>
      </c>
      <c r="E42" s="36">
        <v>8.84</v>
      </c>
      <c r="F42" s="36">
        <v>4.24</v>
      </c>
    </row>
    <row r="43" ht="15.75" customHeight="1">
      <c r="B43" s="36">
        <v>5.56</v>
      </c>
      <c r="C43" s="36">
        <v>0.51</v>
      </c>
      <c r="D43" s="36">
        <v>2.43</v>
      </c>
      <c r="E43" s="36">
        <v>7.29</v>
      </c>
      <c r="F43" s="36">
        <v>1.85</v>
      </c>
    </row>
    <row r="44" ht="15.75" customHeight="1">
      <c r="B44" s="36">
        <v>9.02</v>
      </c>
      <c r="C44" s="36">
        <v>5.45</v>
      </c>
      <c r="D44" s="36">
        <v>4.06</v>
      </c>
      <c r="E44" s="36">
        <v>9.01</v>
      </c>
      <c r="F44" s="36">
        <v>1.72</v>
      </c>
    </row>
    <row r="45" ht="15.75" customHeight="1">
      <c r="B45" s="36">
        <v>5.87</v>
      </c>
      <c r="C45" s="36">
        <v>1.4</v>
      </c>
      <c r="D45" s="36">
        <v>0.99</v>
      </c>
      <c r="E45" s="36">
        <v>9.02</v>
      </c>
      <c r="F45" s="36">
        <v>7.08</v>
      </c>
    </row>
    <row r="46" ht="15.75" customHeight="1">
      <c r="B46" s="36">
        <v>9.01</v>
      </c>
      <c r="C46" s="36">
        <v>6.6</v>
      </c>
      <c r="D46" s="36">
        <v>9.04</v>
      </c>
      <c r="E46" s="36">
        <v>8.3</v>
      </c>
      <c r="F46" s="36">
        <v>4.79</v>
      </c>
    </row>
    <row r="47" ht="15.75" customHeight="1">
      <c r="B47" s="36">
        <v>8.35</v>
      </c>
      <c r="C47" s="36">
        <v>4.41</v>
      </c>
      <c r="D47" s="36">
        <v>3.22</v>
      </c>
      <c r="E47" s="36">
        <v>9.04</v>
      </c>
      <c r="F47" s="36">
        <v>4.49</v>
      </c>
    </row>
    <row r="48" ht="15.75" customHeight="1">
      <c r="B48" s="36">
        <v>6.81</v>
      </c>
      <c r="C48" s="36">
        <v>4.16</v>
      </c>
      <c r="D48" s="36">
        <v>2.19</v>
      </c>
      <c r="E48" s="36">
        <v>7.77</v>
      </c>
      <c r="F48" s="36">
        <v>2.59</v>
      </c>
    </row>
    <row r="49" ht="15.75" customHeight="1">
      <c r="B49" s="36">
        <v>8.76</v>
      </c>
      <c r="C49" s="36">
        <v>5.72</v>
      </c>
      <c r="D49" s="36">
        <v>1.41</v>
      </c>
      <c r="E49" s="36">
        <v>9.02</v>
      </c>
      <c r="F49" s="36">
        <v>4.25</v>
      </c>
    </row>
    <row r="50" ht="15.75" customHeight="1">
      <c r="B50" s="36">
        <v>7.96</v>
      </c>
      <c r="C50" s="36">
        <v>4.52</v>
      </c>
      <c r="D50" s="36">
        <v>8.2</v>
      </c>
      <c r="E50" s="36">
        <v>8.18</v>
      </c>
      <c r="F50" s="36">
        <v>6.01</v>
      </c>
    </row>
    <row r="51" ht="15.75" customHeight="1">
      <c r="B51" s="36">
        <v>3.46</v>
      </c>
      <c r="C51" s="36">
        <v>1.66</v>
      </c>
      <c r="D51" s="36">
        <v>2.98</v>
      </c>
      <c r="E51" s="36">
        <v>9.03</v>
      </c>
      <c r="F51" s="36">
        <v>4.69</v>
      </c>
    </row>
    <row r="52" ht="15.75" customHeight="1">
      <c r="B52" s="36">
        <v>6.3</v>
      </c>
      <c r="C52" s="36">
        <v>0.75</v>
      </c>
      <c r="D52" s="36">
        <v>1.94</v>
      </c>
      <c r="E52" s="36">
        <v>9.02</v>
      </c>
      <c r="F52" s="36">
        <v>7.03</v>
      </c>
    </row>
    <row r="53" ht="15.75" customHeight="1">
      <c r="B53" s="36">
        <v>9.04</v>
      </c>
      <c r="C53" s="36">
        <v>3.55</v>
      </c>
      <c r="D53" s="36">
        <v>0.99</v>
      </c>
      <c r="E53" s="36">
        <v>9.01</v>
      </c>
      <c r="F53" s="36">
        <v>3.71</v>
      </c>
    </row>
    <row r="54" ht="15.75" customHeight="1">
      <c r="B54" s="36">
        <v>3.58</v>
      </c>
      <c r="C54" s="36">
        <v>5.75</v>
      </c>
      <c r="D54" s="36">
        <v>0.73</v>
      </c>
      <c r="E54" s="36">
        <v>9.04</v>
      </c>
      <c r="F54" s="36">
        <v>5.49</v>
      </c>
    </row>
    <row r="55" ht="15.75" customHeight="1">
      <c r="B55" s="36">
        <v>7.47</v>
      </c>
      <c r="C55" s="36">
        <v>4.9</v>
      </c>
      <c r="D55" s="36">
        <v>2.75</v>
      </c>
      <c r="E55" s="36">
        <v>7.15</v>
      </c>
      <c r="F55" s="36">
        <v>4.83</v>
      </c>
    </row>
    <row r="56" ht="15.75" customHeight="1">
      <c r="B56" s="36">
        <v>7.19</v>
      </c>
      <c r="C56" s="36">
        <v>1.33</v>
      </c>
      <c r="D56" s="36">
        <v>0.82</v>
      </c>
      <c r="E56" s="36">
        <v>9.01</v>
      </c>
      <c r="F56" s="36">
        <v>3.57</v>
      </c>
    </row>
    <row r="57" ht="15.75" customHeight="1">
      <c r="B57" s="36">
        <v>7.56</v>
      </c>
      <c r="C57" s="36">
        <v>0.71</v>
      </c>
      <c r="D57" s="36">
        <v>-0.11</v>
      </c>
      <c r="E57" s="36">
        <v>9.01</v>
      </c>
      <c r="F57" s="36">
        <v>3.73</v>
      </c>
    </row>
    <row r="58" ht="15.75" customHeight="1">
      <c r="B58" s="36">
        <v>9.02</v>
      </c>
      <c r="C58" s="36">
        <v>6.83</v>
      </c>
      <c r="D58" s="36">
        <v>5.75</v>
      </c>
      <c r="E58" s="36">
        <v>9.01</v>
      </c>
      <c r="F58" s="36">
        <v>4.04</v>
      </c>
    </row>
    <row r="59" ht="15.75" customHeight="1">
      <c r="B59" s="36">
        <v>8.81</v>
      </c>
      <c r="C59" s="36">
        <v>0.33</v>
      </c>
      <c r="D59" s="36">
        <v>2.76</v>
      </c>
      <c r="E59" s="36">
        <v>8.05</v>
      </c>
      <c r="F59" s="36">
        <v>4.69</v>
      </c>
    </row>
    <row r="60" ht="15.75" customHeight="1">
      <c r="B60" s="36">
        <v>2.14</v>
      </c>
      <c r="C60" s="36">
        <v>5.02</v>
      </c>
      <c r="D60" s="36">
        <v>3.45</v>
      </c>
      <c r="E60" s="36">
        <v>9.01</v>
      </c>
      <c r="F60" s="36">
        <v>3.71</v>
      </c>
    </row>
    <row r="61" ht="15.75" customHeight="1">
      <c r="B61" s="36">
        <v>3.13</v>
      </c>
      <c r="C61" s="36">
        <v>5.86</v>
      </c>
      <c r="D61" s="36">
        <v>1.66</v>
      </c>
      <c r="E61" s="36">
        <v>8.36</v>
      </c>
      <c r="F61" s="36">
        <v>4.93</v>
      </c>
    </row>
    <row r="62" ht="15.75" customHeight="1">
      <c r="B62" s="36">
        <v>6.06</v>
      </c>
      <c r="C62" s="36">
        <v>0.84</v>
      </c>
      <c r="D62" s="36">
        <v>0.93</v>
      </c>
      <c r="E62" s="36">
        <v>9.01</v>
      </c>
      <c r="F62" s="36">
        <v>4.47</v>
      </c>
    </row>
    <row r="63" ht="15.75" customHeight="1">
      <c r="B63" s="36">
        <v>7.97</v>
      </c>
      <c r="C63" s="36">
        <v>3.57</v>
      </c>
      <c r="D63" s="36">
        <v>2.62</v>
      </c>
      <c r="E63" s="36">
        <v>9.02</v>
      </c>
      <c r="F63" s="36">
        <v>5.03</v>
      </c>
    </row>
    <row r="64" ht="15.75" customHeight="1">
      <c r="B64" s="36">
        <v>8.35</v>
      </c>
      <c r="C64" s="36">
        <v>4.7</v>
      </c>
      <c r="D64" s="36">
        <v>3.85</v>
      </c>
      <c r="E64" s="36">
        <v>8.34</v>
      </c>
      <c r="F64" s="36">
        <v>3.94</v>
      </c>
    </row>
    <row r="65" ht="15.75" customHeight="1">
      <c r="B65" s="36">
        <v>6.17</v>
      </c>
      <c r="C65" s="36">
        <v>2.77</v>
      </c>
      <c r="D65" s="36">
        <v>1.07</v>
      </c>
      <c r="E65" s="36">
        <v>9.01</v>
      </c>
      <c r="F65" s="36">
        <v>4.12</v>
      </c>
    </row>
    <row r="66" ht="15.75" customHeight="1">
      <c r="B66" s="36">
        <v>1.51</v>
      </c>
      <c r="C66" s="36">
        <v>0.91</v>
      </c>
      <c r="D66" s="36">
        <v>2.33</v>
      </c>
      <c r="E66" s="36">
        <v>8.34</v>
      </c>
      <c r="F66" s="36">
        <v>8.0</v>
      </c>
    </row>
    <row r="67" ht="15.75" customHeight="1">
      <c r="B67" s="36">
        <v>2.0</v>
      </c>
      <c r="C67" s="36">
        <v>3.68</v>
      </c>
      <c r="D67" s="36">
        <v>1.06</v>
      </c>
      <c r="E67" s="36">
        <v>9.02</v>
      </c>
      <c r="F67" s="36">
        <v>4.09</v>
      </c>
    </row>
    <row r="68" ht="15.75" customHeight="1">
      <c r="B68" s="36">
        <v>4.44</v>
      </c>
      <c r="C68" s="36">
        <v>3.51</v>
      </c>
      <c r="D68" s="36">
        <v>1.55</v>
      </c>
      <c r="E68" s="36">
        <v>9.01</v>
      </c>
      <c r="F68" s="36">
        <v>2.7</v>
      </c>
    </row>
    <row r="69" ht="15.75" customHeight="1">
      <c r="B69" s="36">
        <v>6.79</v>
      </c>
      <c r="C69" s="36">
        <v>5.94</v>
      </c>
      <c r="D69" s="36">
        <v>1.26</v>
      </c>
      <c r="E69" s="36">
        <v>9.0</v>
      </c>
      <c r="F69" s="36">
        <v>5.1</v>
      </c>
    </row>
    <row r="70" ht="15.75" customHeight="1">
      <c r="B70" s="36">
        <v>4.94</v>
      </c>
      <c r="C70" s="36">
        <v>1.84</v>
      </c>
      <c r="D70" s="36">
        <v>1.69</v>
      </c>
      <c r="E70" s="36">
        <v>9.03</v>
      </c>
      <c r="F70" s="36">
        <v>4.38</v>
      </c>
    </row>
    <row r="71" ht="15.75" customHeight="1">
      <c r="B71" s="36">
        <v>6.04</v>
      </c>
      <c r="C71" s="36">
        <v>7.81</v>
      </c>
      <c r="D71" s="36">
        <v>0.54</v>
      </c>
      <c r="E71" s="36">
        <v>9.02</v>
      </c>
      <c r="F71" s="36">
        <v>2.04</v>
      </c>
    </row>
    <row r="72" ht="15.75" customHeight="1">
      <c r="B72" s="36">
        <v>8.38</v>
      </c>
      <c r="C72" s="36">
        <v>1.39</v>
      </c>
      <c r="D72" s="36">
        <v>7.67</v>
      </c>
      <c r="E72" s="36">
        <v>8.58</v>
      </c>
      <c r="F72" s="36">
        <v>5.1</v>
      </c>
    </row>
    <row r="73" ht="15.75" customHeight="1">
      <c r="B73" s="36">
        <v>3.69</v>
      </c>
      <c r="C73" s="36">
        <v>2.2</v>
      </c>
      <c r="D73" s="36">
        <v>0.82</v>
      </c>
      <c r="E73" s="36">
        <v>9.02</v>
      </c>
      <c r="F73" s="36">
        <v>9.01</v>
      </c>
    </row>
    <row r="74" ht="15.75" customHeight="1">
      <c r="B74" s="36">
        <v>5.25</v>
      </c>
      <c r="C74" s="36">
        <v>-0.08</v>
      </c>
      <c r="D74" s="36">
        <v>0.53</v>
      </c>
      <c r="E74" s="36">
        <v>8.33</v>
      </c>
      <c r="F74" s="36">
        <v>2.76</v>
      </c>
    </row>
    <row r="75" ht="15.75" customHeight="1">
      <c r="B75" s="36">
        <v>8.99</v>
      </c>
      <c r="C75" s="36">
        <v>-0.12</v>
      </c>
      <c r="D75" s="36">
        <v>2.14</v>
      </c>
      <c r="E75" s="36">
        <v>8.76</v>
      </c>
      <c r="F75" s="36">
        <v>4.18</v>
      </c>
    </row>
    <row r="76" ht="15.75" customHeight="1">
      <c r="B76" s="36">
        <v>5.18</v>
      </c>
      <c r="C76" s="36">
        <v>0.82</v>
      </c>
      <c r="D76" s="36">
        <v>0.59</v>
      </c>
      <c r="E76" s="36">
        <v>9.03</v>
      </c>
      <c r="F76" s="36">
        <v>3.79</v>
      </c>
    </row>
    <row r="77" ht="15.75" customHeight="1">
      <c r="B77" s="36">
        <v>2.51</v>
      </c>
      <c r="C77" s="36">
        <v>4.81</v>
      </c>
      <c r="D77" s="36">
        <v>0.58</v>
      </c>
      <c r="E77" s="36">
        <v>6.78</v>
      </c>
      <c r="F77" s="36">
        <v>2.98</v>
      </c>
    </row>
    <row r="78" ht="15.75" customHeight="1">
      <c r="B78" s="36">
        <v>9.0</v>
      </c>
      <c r="C78" s="36">
        <v>5.77</v>
      </c>
      <c r="D78" s="36">
        <v>0.63</v>
      </c>
      <c r="E78" s="36">
        <v>9.01</v>
      </c>
      <c r="F78" s="36">
        <v>5.25</v>
      </c>
    </row>
    <row r="79" ht="15.75" customHeight="1">
      <c r="B79" s="36">
        <v>4.97</v>
      </c>
      <c r="C79" s="36">
        <v>1.71</v>
      </c>
      <c r="D79" s="36">
        <v>1.34</v>
      </c>
      <c r="E79" s="36">
        <v>9.01</v>
      </c>
      <c r="F79" s="36">
        <v>4.0</v>
      </c>
    </row>
    <row r="80" ht="15.75" customHeight="1">
      <c r="B80" s="36">
        <v>4.01</v>
      </c>
      <c r="C80" s="36">
        <v>1.72</v>
      </c>
      <c r="D80" s="36">
        <v>0.57</v>
      </c>
      <c r="E80" s="36">
        <v>9.01</v>
      </c>
      <c r="F80" s="36">
        <v>4.78</v>
      </c>
    </row>
    <row r="81" ht="15.75" customHeight="1">
      <c r="B81" s="36">
        <v>1.33</v>
      </c>
      <c r="C81" s="36">
        <v>2.77</v>
      </c>
      <c r="D81" s="36">
        <v>2.21</v>
      </c>
      <c r="E81" s="36">
        <v>9.0</v>
      </c>
      <c r="F81" s="36">
        <v>4.03</v>
      </c>
    </row>
    <row r="82" ht="15.75" customHeight="1">
      <c r="B82" s="36">
        <v>7.64</v>
      </c>
      <c r="C82" s="36">
        <v>1.69</v>
      </c>
      <c r="D82" s="36">
        <v>2.42</v>
      </c>
      <c r="E82" s="36">
        <v>9.0</v>
      </c>
      <c r="F82" s="36">
        <v>3.54</v>
      </c>
    </row>
    <row r="83" ht="15.75" customHeight="1">
      <c r="B83" s="36">
        <v>9.01</v>
      </c>
      <c r="C83" s="36">
        <v>5.07</v>
      </c>
      <c r="D83" s="36">
        <v>1.48</v>
      </c>
      <c r="E83" s="36">
        <v>4.54</v>
      </c>
      <c r="F83" s="36">
        <v>5.7</v>
      </c>
    </row>
    <row r="84" ht="15.75" customHeight="1">
      <c r="B84" s="36">
        <v>3.19</v>
      </c>
      <c r="C84" s="36">
        <v>9.03</v>
      </c>
      <c r="D84" s="36">
        <v>1.53</v>
      </c>
      <c r="E84" s="36">
        <v>4.54</v>
      </c>
      <c r="F84" s="36">
        <v>3.68</v>
      </c>
    </row>
    <row r="85" ht="15.75" customHeight="1">
      <c r="B85" s="36">
        <v>9.01</v>
      </c>
      <c r="C85" s="36">
        <v>5.73</v>
      </c>
      <c r="D85" s="36">
        <v>1.31</v>
      </c>
      <c r="E85" s="36">
        <v>8.81</v>
      </c>
      <c r="F85" s="36">
        <v>3.94</v>
      </c>
    </row>
    <row r="86" ht="15.75" customHeight="1">
      <c r="B86" s="36">
        <v>9.01</v>
      </c>
      <c r="C86" s="36">
        <v>4.0</v>
      </c>
      <c r="D86" s="36">
        <v>8.09</v>
      </c>
      <c r="E86" s="36">
        <v>9.04</v>
      </c>
      <c r="F86" s="36">
        <v>4.36</v>
      </c>
    </row>
    <row r="87" ht="15.75" customHeight="1">
      <c r="B87" s="36">
        <v>1.97</v>
      </c>
      <c r="C87" s="36">
        <v>0.43</v>
      </c>
      <c r="D87" s="36">
        <v>8.04</v>
      </c>
      <c r="E87" s="36">
        <v>9.03</v>
      </c>
      <c r="F87" s="36">
        <v>4.48</v>
      </c>
    </row>
    <row r="88" ht="15.75" customHeight="1">
      <c r="B88" s="36">
        <v>7.52</v>
      </c>
      <c r="C88" s="36">
        <v>5.56</v>
      </c>
      <c r="D88" s="36">
        <v>3.3</v>
      </c>
      <c r="E88" s="36">
        <v>9.02</v>
      </c>
      <c r="F88" s="36">
        <v>1.06</v>
      </c>
    </row>
    <row r="89" ht="15.75" customHeight="1">
      <c r="B89" s="36">
        <v>9.01</v>
      </c>
      <c r="C89" s="36">
        <v>6.63</v>
      </c>
      <c r="D89" s="36">
        <v>2.3</v>
      </c>
      <c r="E89" s="36">
        <v>9.03</v>
      </c>
      <c r="F89" s="36">
        <v>4.01</v>
      </c>
    </row>
    <row r="90" ht="15.75" customHeight="1">
      <c r="B90" s="36">
        <v>8.51</v>
      </c>
      <c r="C90" s="36">
        <v>6.36</v>
      </c>
      <c r="D90" s="36">
        <v>1.46</v>
      </c>
      <c r="E90" s="36">
        <v>9.0</v>
      </c>
      <c r="F90" s="36">
        <v>6.61</v>
      </c>
    </row>
    <row r="91" ht="15.75" customHeight="1">
      <c r="B91" s="36">
        <v>9.0</v>
      </c>
      <c r="C91" s="36">
        <v>1.91</v>
      </c>
      <c r="D91" s="36">
        <v>1.35</v>
      </c>
      <c r="E91" s="36">
        <v>9.01</v>
      </c>
      <c r="F91" s="36">
        <v>3.7</v>
      </c>
    </row>
    <row r="92" ht="15.75" customHeight="1">
      <c r="B92" s="36">
        <v>8.9</v>
      </c>
      <c r="C92" s="36">
        <v>5.34</v>
      </c>
      <c r="D92" s="36">
        <v>3.08</v>
      </c>
      <c r="E92" s="36">
        <v>9.03</v>
      </c>
      <c r="F92" s="36">
        <v>4.44</v>
      </c>
    </row>
    <row r="93" ht="15.75" customHeight="1">
      <c r="B93" s="36">
        <v>9.02</v>
      </c>
      <c r="C93" s="36">
        <v>4.05</v>
      </c>
      <c r="D93" s="36">
        <v>2.91</v>
      </c>
      <c r="E93" s="36">
        <v>9.04</v>
      </c>
      <c r="F93" s="36">
        <v>6.22</v>
      </c>
    </row>
    <row r="94" ht="15.75" customHeight="1">
      <c r="B94" s="36">
        <v>1.7</v>
      </c>
      <c r="C94" s="36">
        <v>-0.19</v>
      </c>
      <c r="D94" s="36">
        <v>1.24</v>
      </c>
      <c r="E94" s="36">
        <v>9.02</v>
      </c>
      <c r="F94" s="36">
        <v>5.09</v>
      </c>
    </row>
    <row r="95" ht="15.75" customHeight="1">
      <c r="B95" s="36">
        <v>5.71</v>
      </c>
      <c r="C95" s="36">
        <v>1.11</v>
      </c>
      <c r="D95" s="36">
        <v>1.06</v>
      </c>
      <c r="E95" s="36">
        <v>8.88</v>
      </c>
      <c r="F95" s="36">
        <v>2.89</v>
      </c>
    </row>
    <row r="96" ht="15.75" customHeight="1">
      <c r="B96" s="36">
        <v>5.03</v>
      </c>
      <c r="C96" s="36">
        <v>1.7</v>
      </c>
      <c r="D96" s="36">
        <v>2.36</v>
      </c>
      <c r="E96" s="36">
        <v>8.57</v>
      </c>
      <c r="F96" s="36">
        <v>6.1</v>
      </c>
    </row>
    <row r="97" ht="15.75" customHeight="1">
      <c r="B97" s="36">
        <v>9.0</v>
      </c>
      <c r="C97" s="36">
        <v>4.66</v>
      </c>
      <c r="D97" s="36">
        <v>2.2</v>
      </c>
      <c r="E97" s="36">
        <v>9.03</v>
      </c>
      <c r="F97" s="36">
        <v>3.93</v>
      </c>
    </row>
    <row r="98" ht="15.75" customHeight="1">
      <c r="B98" s="36">
        <v>8.85</v>
      </c>
      <c r="C98" s="36">
        <v>0.23</v>
      </c>
      <c r="D98" s="36">
        <v>2.43</v>
      </c>
      <c r="E98" s="36">
        <v>8.15</v>
      </c>
      <c r="F98" s="36">
        <v>3.78</v>
      </c>
    </row>
    <row r="99" ht="15.75" customHeight="1">
      <c r="B99" s="36">
        <v>9.02</v>
      </c>
      <c r="C99" s="36">
        <v>3.69</v>
      </c>
      <c r="D99" s="36">
        <v>1.28</v>
      </c>
      <c r="E99" s="36">
        <v>9.01</v>
      </c>
      <c r="F99" s="36">
        <v>4.4</v>
      </c>
    </row>
    <row r="100" ht="15.75" customHeight="1">
      <c r="B100" s="36">
        <v>9.02</v>
      </c>
      <c r="C100" s="36">
        <v>1.59</v>
      </c>
      <c r="D100" s="36">
        <v>1.67</v>
      </c>
      <c r="E100" s="36">
        <v>9.02</v>
      </c>
      <c r="F100" s="36">
        <v>3.35</v>
      </c>
    </row>
    <row r="101" ht="15.75" customHeight="1">
      <c r="B101" s="36">
        <v>9.02</v>
      </c>
      <c r="C101" s="36">
        <v>4.01</v>
      </c>
      <c r="D101" s="36">
        <v>1.4</v>
      </c>
      <c r="E101" s="36">
        <v>9.01</v>
      </c>
      <c r="F101" s="36">
        <v>3.44</v>
      </c>
    </row>
    <row r="102" ht="15.75" customHeight="1">
      <c r="B102" s="36">
        <v>3.3</v>
      </c>
      <c r="C102" s="36">
        <v>-0.24</v>
      </c>
      <c r="D102" s="36">
        <v>2.11</v>
      </c>
      <c r="E102" s="36">
        <v>8.88</v>
      </c>
      <c r="F102" s="36">
        <v>5.08</v>
      </c>
    </row>
    <row r="103" ht="15.75" customHeight="1">
      <c r="B103" s="37">
        <v>3.45</v>
      </c>
      <c r="C103" s="37">
        <v>1.42</v>
      </c>
      <c r="D103" s="37">
        <v>7.74</v>
      </c>
      <c r="E103" s="37">
        <v>8.22</v>
      </c>
      <c r="F103" s="37">
        <v>3.94</v>
      </c>
    </row>
    <row r="104" ht="15.75" customHeight="1"/>
    <row r="105" ht="15.75" customHeight="1"/>
    <row r="106" ht="15.75" customHeight="1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 ht="15.75" customHeight="1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 ht="15.75" customHeight="1">
      <c r="B108" s="40" t="s">
        <v>8</v>
      </c>
      <c r="C108" s="41">
        <v>6.4409</v>
      </c>
      <c r="D108" s="41">
        <v>2.4819</v>
      </c>
      <c r="E108" s="41">
        <v>6.85</v>
      </c>
      <c r="F108" s="41">
        <v>5.9544</v>
      </c>
      <c r="G108" s="41">
        <v>6.9274</v>
      </c>
      <c r="H108" s="42">
        <v>1.27</v>
      </c>
      <c r="I108" s="42">
        <v>9.04</v>
      </c>
      <c r="J108" s="43">
        <v>38.5</v>
      </c>
    </row>
    <row r="109" ht="15.75" customHeight="1">
      <c r="B109" s="40" t="s">
        <v>7</v>
      </c>
      <c r="C109" s="41">
        <v>3.5051</v>
      </c>
      <c r="D109" s="41">
        <v>2.3504</v>
      </c>
      <c r="E109" s="41">
        <v>3.53</v>
      </c>
      <c r="F109" s="41">
        <v>3.0444</v>
      </c>
      <c r="G109" s="41">
        <v>3.9658</v>
      </c>
      <c r="H109" s="42">
        <v>-0.24</v>
      </c>
      <c r="I109" s="42">
        <v>9.03</v>
      </c>
      <c r="J109" s="43">
        <v>67.1</v>
      </c>
    </row>
    <row r="110" ht="15.75" customHeight="1">
      <c r="B110" s="40" t="s">
        <v>9</v>
      </c>
      <c r="C110" s="41">
        <v>2.6668</v>
      </c>
      <c r="D110" s="41">
        <v>2.2465</v>
      </c>
      <c r="E110" s="41">
        <v>2.065</v>
      </c>
      <c r="F110" s="41">
        <v>2.2265</v>
      </c>
      <c r="G110" s="41">
        <v>3.1071</v>
      </c>
      <c r="H110" s="42">
        <v>-0.11</v>
      </c>
      <c r="I110" s="42">
        <v>9.04</v>
      </c>
      <c r="J110" s="43">
        <v>84.2</v>
      </c>
    </row>
    <row r="111" ht="15.75" customHeight="1">
      <c r="B111" s="40" t="s">
        <v>11</v>
      </c>
      <c r="C111" s="41">
        <v>8.6635</v>
      </c>
      <c r="D111" s="41">
        <v>0.9221</v>
      </c>
      <c r="E111" s="41">
        <v>9.01</v>
      </c>
      <c r="F111" s="41">
        <v>8.4828</v>
      </c>
      <c r="G111" s="41">
        <v>8.8442</v>
      </c>
      <c r="H111" s="42">
        <v>3.16</v>
      </c>
      <c r="I111" s="42">
        <v>9.06</v>
      </c>
      <c r="J111" s="43">
        <v>10.6</v>
      </c>
    </row>
    <row r="112" ht="15.75" customHeight="1">
      <c r="B112" s="44" t="s">
        <v>10</v>
      </c>
      <c r="C112" s="45">
        <v>4.699</v>
      </c>
      <c r="D112" s="45">
        <v>1.949</v>
      </c>
      <c r="E112" s="45">
        <v>4.165</v>
      </c>
      <c r="F112" s="45">
        <v>4.317</v>
      </c>
      <c r="G112" s="45">
        <v>5.081</v>
      </c>
      <c r="H112" s="46">
        <v>1.06</v>
      </c>
      <c r="I112" s="47">
        <v>9.03</v>
      </c>
      <c r="J112" s="48">
        <v>41.5</v>
      </c>
    </row>
    <row r="113" ht="15.75" customHeight="1">
      <c r="B113" s="40"/>
      <c r="C113" s="41"/>
      <c r="D113" s="41"/>
      <c r="E113" s="41"/>
      <c r="F113" s="41"/>
      <c r="G113" s="41"/>
      <c r="H113" s="42"/>
      <c r="I113" s="42"/>
      <c r="J113" s="43"/>
    </row>
    <row r="114" ht="15.75" customHeight="1">
      <c r="B114" s="49"/>
      <c r="C114" s="49"/>
      <c r="D114" s="49"/>
      <c r="E114" s="49"/>
      <c r="F114" s="49"/>
      <c r="G114" s="49"/>
      <c r="H114" s="49"/>
      <c r="I114" s="49"/>
      <c r="J114" s="49"/>
    </row>
    <row r="115" ht="15.75" customHeight="1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 ht="15.75" customHeight="1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 ht="15.75" customHeight="1">
      <c r="B117" s="45">
        <v>26.4878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 ht="15.75" customHeight="1">
      <c r="B118" s="41"/>
      <c r="C118" s="42"/>
      <c r="D118" s="52"/>
      <c r="E118" s="49"/>
      <c r="F118" s="49"/>
      <c r="G118" s="49"/>
      <c r="H118" s="49"/>
      <c r="I118" s="49"/>
      <c r="J118" s="49"/>
    </row>
    <row r="119" ht="15.75" customHeight="1">
      <c r="B119" s="49"/>
      <c r="C119" s="49"/>
      <c r="D119" s="49"/>
      <c r="E119" s="49"/>
      <c r="F119" s="49"/>
      <c r="G119" s="49"/>
      <c r="H119" s="49"/>
      <c r="I119" s="49"/>
      <c r="J119" s="49"/>
    </row>
    <row r="120" ht="15.75" customHeight="1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 ht="15.75" customHeight="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 ht="15.75" customHeight="1">
      <c r="B122" s="47">
        <v>262.8333</v>
      </c>
      <c r="C122" s="47">
        <v>4.0</v>
      </c>
      <c r="D122" s="47">
        <v>10.0</v>
      </c>
      <c r="E122" s="50" t="s">
        <v>35</v>
      </c>
      <c r="F122" s="51" t="s">
        <v>41</v>
      </c>
      <c r="G122" s="49"/>
      <c r="H122" s="49"/>
      <c r="I122" s="49"/>
      <c r="J122" s="49"/>
    </row>
    <row r="123" ht="15.75" customHeight="1">
      <c r="B123" s="42"/>
      <c r="C123" s="42"/>
      <c r="D123" s="42"/>
      <c r="E123" s="42"/>
      <c r="F123" s="52"/>
      <c r="G123" s="49"/>
      <c r="H123" s="49"/>
      <c r="I123" s="49"/>
      <c r="J123" s="49"/>
    </row>
    <row r="124" ht="15.75" customHeight="1">
      <c r="B124" s="49"/>
      <c r="C124" s="49"/>
      <c r="D124" s="49"/>
      <c r="E124" s="49"/>
      <c r="F124" s="49"/>
      <c r="G124" s="49"/>
      <c r="H124" s="49"/>
      <c r="I124" s="49"/>
      <c r="J124" s="49"/>
    </row>
    <row r="125" ht="15.75" customHeight="1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 ht="15.75" customHeight="1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 ht="15.75" customHeight="1">
      <c r="B127" s="40" t="s">
        <v>8</v>
      </c>
      <c r="C127" s="40" t="s">
        <v>7</v>
      </c>
      <c r="D127" s="41">
        <v>2.9358</v>
      </c>
      <c r="E127" s="41">
        <v>0.3418</v>
      </c>
      <c r="F127" s="41">
        <v>2.2617</v>
      </c>
      <c r="G127" s="41">
        <v>3.6099</v>
      </c>
      <c r="H127" s="53" t="s">
        <v>35</v>
      </c>
      <c r="I127" s="52" t="s">
        <v>48</v>
      </c>
      <c r="J127" s="49"/>
    </row>
    <row r="128" ht="15.75" customHeight="1">
      <c r="B128" s="40" t="s">
        <v>8</v>
      </c>
      <c r="C128" s="40" t="s">
        <v>9</v>
      </c>
      <c r="D128" s="41">
        <v>3.7741</v>
      </c>
      <c r="E128" s="41">
        <v>0.3348</v>
      </c>
      <c r="F128" s="41">
        <v>3.1139</v>
      </c>
      <c r="G128" s="41">
        <v>4.4343</v>
      </c>
      <c r="H128" s="53" t="s">
        <v>35</v>
      </c>
      <c r="I128" s="52" t="s">
        <v>48</v>
      </c>
      <c r="J128" s="49"/>
    </row>
    <row r="129" ht="15.75" customHeight="1">
      <c r="B129" s="40" t="s">
        <v>8</v>
      </c>
      <c r="C129" s="40" t="s">
        <v>11</v>
      </c>
      <c r="D129" s="41">
        <v>-2.2226</v>
      </c>
      <c r="E129" s="41">
        <v>0.2648</v>
      </c>
      <c r="F129" s="41">
        <v>-2.7466</v>
      </c>
      <c r="G129" s="41">
        <v>-1.6986</v>
      </c>
      <c r="H129" s="53" t="s">
        <v>35</v>
      </c>
      <c r="I129" s="52" t="s">
        <v>48</v>
      </c>
      <c r="J129" s="49"/>
    </row>
    <row r="130" ht="15.75" customHeight="1">
      <c r="B130" s="40" t="s">
        <v>8</v>
      </c>
      <c r="C130" s="40" t="s">
        <v>10</v>
      </c>
      <c r="D130" s="41">
        <v>1.7419</v>
      </c>
      <c r="E130" s="41">
        <v>0.3156</v>
      </c>
      <c r="F130" s="41">
        <v>1.1194</v>
      </c>
      <c r="G130" s="41">
        <v>2.3644</v>
      </c>
      <c r="H130" s="53" t="s">
        <v>35</v>
      </c>
      <c r="I130" s="52" t="s">
        <v>48</v>
      </c>
      <c r="J130" s="49"/>
    </row>
    <row r="131" ht="15.75" customHeight="1">
      <c r="B131" s="40" t="s">
        <v>7</v>
      </c>
      <c r="C131" s="40" t="s">
        <v>9</v>
      </c>
      <c r="D131" s="41">
        <v>0.8383</v>
      </c>
      <c r="E131" s="41">
        <v>0.3251</v>
      </c>
      <c r="F131" s="41">
        <v>0.1971</v>
      </c>
      <c r="G131" s="41">
        <v>1.4795</v>
      </c>
      <c r="H131" s="53">
        <v>0.0107</v>
      </c>
      <c r="I131" s="52" t="s">
        <v>48</v>
      </c>
      <c r="J131" s="49"/>
    </row>
    <row r="132" ht="15.75" customHeight="1">
      <c r="B132" s="40" t="s">
        <v>7</v>
      </c>
      <c r="C132" s="40" t="s">
        <v>11</v>
      </c>
      <c r="D132" s="41">
        <v>-5.1584</v>
      </c>
      <c r="E132" s="41">
        <v>0.2525</v>
      </c>
      <c r="F132" s="41">
        <v>-5.6579</v>
      </c>
      <c r="G132" s="41">
        <v>-4.6589</v>
      </c>
      <c r="H132" s="53" t="s">
        <v>35</v>
      </c>
      <c r="I132" s="52" t="s">
        <v>48</v>
      </c>
      <c r="J132" s="49"/>
    </row>
    <row r="133" ht="15.75" customHeight="1">
      <c r="B133" s="40" t="s">
        <v>7</v>
      </c>
      <c r="C133" s="40" t="s">
        <v>10</v>
      </c>
      <c r="D133" s="41">
        <v>-1.1939</v>
      </c>
      <c r="E133" s="41">
        <v>0.3053</v>
      </c>
      <c r="F133" s="41">
        <v>-1.7961</v>
      </c>
      <c r="G133" s="41">
        <v>-0.5917</v>
      </c>
      <c r="H133" s="53" t="s">
        <v>35</v>
      </c>
      <c r="I133" s="52" t="s">
        <v>48</v>
      </c>
      <c r="J133" s="49"/>
    </row>
    <row r="134" ht="15.75" customHeight="1">
      <c r="B134" s="40" t="s">
        <v>9</v>
      </c>
      <c r="C134" s="40" t="s">
        <v>11</v>
      </c>
      <c r="D134" s="41">
        <v>-5.9967</v>
      </c>
      <c r="E134" s="41">
        <v>0.2428</v>
      </c>
      <c r="F134" s="41">
        <v>-6.4771</v>
      </c>
      <c r="G134" s="41">
        <v>-5.5163</v>
      </c>
      <c r="H134" s="53" t="s">
        <v>35</v>
      </c>
      <c r="I134" s="52" t="s">
        <v>48</v>
      </c>
      <c r="J134" s="49"/>
    </row>
    <row r="135" ht="15.75" customHeight="1">
      <c r="B135" s="40" t="s">
        <v>9</v>
      </c>
      <c r="C135" s="40" t="s">
        <v>10</v>
      </c>
      <c r="D135" s="41">
        <v>-2.0322</v>
      </c>
      <c r="E135" s="41">
        <v>0.2974</v>
      </c>
      <c r="F135" s="41">
        <v>-2.6188</v>
      </c>
      <c r="G135" s="41">
        <v>-1.4456</v>
      </c>
      <c r="H135" s="53" t="s">
        <v>35</v>
      </c>
      <c r="I135" s="52" t="s">
        <v>48</v>
      </c>
      <c r="J135" s="49"/>
    </row>
    <row r="136" ht="15.75" customHeight="1">
      <c r="B136" s="44" t="s">
        <v>11</v>
      </c>
      <c r="C136" s="44" t="s">
        <v>10</v>
      </c>
      <c r="D136" s="45">
        <v>3.9645</v>
      </c>
      <c r="E136" s="45">
        <v>0.2156</v>
      </c>
      <c r="F136" s="45">
        <v>3.5383</v>
      </c>
      <c r="G136" s="45">
        <v>4.3907</v>
      </c>
      <c r="H136" s="54" t="s">
        <v>35</v>
      </c>
      <c r="I136" s="51" t="s">
        <v>48</v>
      </c>
      <c r="J136" s="49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5">
    <mergeCell ref="B2:F2"/>
    <mergeCell ref="B106:J106"/>
    <mergeCell ref="B115:D115"/>
    <mergeCell ref="B120:F120"/>
    <mergeCell ref="B125:I12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13"/>
    <col customWidth="1" min="3" max="3" width="11.88"/>
    <col customWidth="1" min="4" max="4" width="15.88"/>
    <col customWidth="1" min="5" max="5" width="11.88"/>
    <col customWidth="1" min="6" max="6" width="13.88"/>
    <col customWidth="1" min="7" max="7" width="15.13"/>
    <col customWidth="1" min="8" max="10" width="11.88"/>
    <col customWidth="1" min="11" max="26" width="8.63"/>
  </cols>
  <sheetData>
    <row r="2">
      <c r="B2" s="33" t="s">
        <v>52</v>
      </c>
      <c r="C2" s="34"/>
      <c r="D2" s="34"/>
      <c r="E2" s="34"/>
      <c r="F2" s="34"/>
    </row>
    <row r="3">
      <c r="B3" s="35" t="s">
        <v>8</v>
      </c>
      <c r="C3" s="35" t="s">
        <v>7</v>
      </c>
      <c r="D3" s="35" t="s">
        <v>12</v>
      </c>
      <c r="E3" s="35" t="s">
        <v>11</v>
      </c>
      <c r="F3" s="35" t="s">
        <v>10</v>
      </c>
    </row>
    <row r="4">
      <c r="B4" s="36">
        <v>2.45</v>
      </c>
      <c r="C4" s="36">
        <v>1.57</v>
      </c>
      <c r="D4" s="36">
        <v>1.28</v>
      </c>
      <c r="E4" s="36">
        <v>7.43</v>
      </c>
      <c r="F4" s="36">
        <v>1.15</v>
      </c>
    </row>
    <row r="5">
      <c r="B5" s="36">
        <v>7.12</v>
      </c>
      <c r="C5" s="36">
        <v>-0.02</v>
      </c>
      <c r="D5" s="36">
        <v>2.62</v>
      </c>
      <c r="E5" s="36">
        <v>7.24</v>
      </c>
      <c r="F5" s="36">
        <v>1.23</v>
      </c>
    </row>
    <row r="6">
      <c r="B6" s="36">
        <v>1.9</v>
      </c>
      <c r="C6" s="36">
        <v>4.84</v>
      </c>
      <c r="D6" s="36">
        <v>2.53</v>
      </c>
      <c r="E6" s="36">
        <v>4.35</v>
      </c>
      <c r="F6" s="36">
        <v>0.97</v>
      </c>
    </row>
    <row r="7">
      <c r="B7" s="36">
        <v>6.69</v>
      </c>
      <c r="C7" s="36">
        <v>1.0</v>
      </c>
      <c r="D7" s="36">
        <v>4.48</v>
      </c>
      <c r="E7" s="36">
        <v>8.55</v>
      </c>
      <c r="F7" s="36">
        <v>2.36</v>
      </c>
    </row>
    <row r="8">
      <c r="B8" s="36">
        <v>3.53</v>
      </c>
      <c r="C8" s="36">
        <v>3.0</v>
      </c>
      <c r="D8" s="36">
        <v>1.6</v>
      </c>
      <c r="E8" s="36">
        <v>9.01</v>
      </c>
      <c r="F8" s="36">
        <v>0.97</v>
      </c>
    </row>
    <row r="9">
      <c r="B9" s="36">
        <v>6.68</v>
      </c>
      <c r="C9" s="36">
        <v>2.36</v>
      </c>
      <c r="D9" s="36">
        <v>3.32</v>
      </c>
      <c r="E9" s="36">
        <v>7.01</v>
      </c>
      <c r="F9" s="36">
        <v>0.47</v>
      </c>
    </row>
    <row r="10">
      <c r="B10" s="36">
        <v>3.48</v>
      </c>
      <c r="C10" s="36">
        <v>-0.04</v>
      </c>
      <c r="D10" s="36">
        <v>1.89</v>
      </c>
      <c r="E10" s="36">
        <v>9.0</v>
      </c>
      <c r="F10" s="36">
        <v>1.13</v>
      </c>
    </row>
    <row r="11">
      <c r="B11" s="36">
        <v>0.89</v>
      </c>
      <c r="C11" s="36">
        <v>2.09</v>
      </c>
      <c r="D11" s="36">
        <v>0.69</v>
      </c>
      <c r="E11" s="36">
        <v>3.58</v>
      </c>
      <c r="F11" s="36">
        <v>1.28</v>
      </c>
    </row>
    <row r="12">
      <c r="B12" s="36">
        <v>9.01</v>
      </c>
      <c r="C12" s="36">
        <v>1.66</v>
      </c>
      <c r="D12" s="36">
        <v>1.24</v>
      </c>
      <c r="E12" s="36">
        <v>7.94</v>
      </c>
      <c r="F12" s="36">
        <v>1.24</v>
      </c>
    </row>
    <row r="13">
      <c r="B13" s="36">
        <v>3.73</v>
      </c>
      <c r="C13" s="36">
        <v>0.17</v>
      </c>
      <c r="D13" s="36">
        <v>1.32</v>
      </c>
      <c r="E13" s="36">
        <v>1.0</v>
      </c>
      <c r="F13" s="36">
        <v>1.96</v>
      </c>
    </row>
    <row r="14">
      <c r="B14" s="36">
        <v>2.48</v>
      </c>
      <c r="C14" s="36">
        <v>1.32</v>
      </c>
      <c r="D14" s="36">
        <v>5.1</v>
      </c>
      <c r="E14" s="36">
        <v>5.13</v>
      </c>
      <c r="F14" s="36">
        <v>1.27</v>
      </c>
    </row>
    <row r="15">
      <c r="B15" s="36">
        <v>6.85</v>
      </c>
      <c r="C15" s="36">
        <v>1.98</v>
      </c>
      <c r="D15" s="36">
        <v>2.94</v>
      </c>
      <c r="E15" s="36">
        <v>0.6</v>
      </c>
      <c r="F15" s="36">
        <v>1.3</v>
      </c>
    </row>
    <row r="16">
      <c r="B16" s="36">
        <v>9.01</v>
      </c>
      <c r="C16" s="36">
        <v>2.86</v>
      </c>
      <c r="D16" s="36">
        <v>3.88</v>
      </c>
      <c r="E16" s="36">
        <v>6.24</v>
      </c>
      <c r="F16" s="36">
        <v>0.19</v>
      </c>
    </row>
    <row r="17">
      <c r="B17" s="36">
        <v>5.71</v>
      </c>
      <c r="C17" s="36">
        <v>0.88</v>
      </c>
      <c r="D17" s="36">
        <v>3.3</v>
      </c>
      <c r="E17" s="36">
        <v>3.75</v>
      </c>
      <c r="F17" s="36">
        <v>1.29</v>
      </c>
    </row>
    <row r="18">
      <c r="B18" s="36">
        <v>1.75</v>
      </c>
      <c r="C18" s="36">
        <v>1.37</v>
      </c>
      <c r="D18" s="36">
        <v>2.31</v>
      </c>
      <c r="E18" s="36">
        <v>7.73</v>
      </c>
      <c r="F18" s="36">
        <v>1.5</v>
      </c>
    </row>
    <row r="19">
      <c r="B19" s="36">
        <v>4.07</v>
      </c>
      <c r="C19" s="36">
        <v>0.86</v>
      </c>
      <c r="D19" s="36">
        <v>0.32</v>
      </c>
      <c r="E19" s="36">
        <v>1.31</v>
      </c>
      <c r="F19" s="36">
        <v>1.54</v>
      </c>
    </row>
    <row r="20">
      <c r="B20" s="36">
        <v>7.11</v>
      </c>
      <c r="C20" s="36">
        <v>2.52</v>
      </c>
      <c r="D20" s="36">
        <v>1.85</v>
      </c>
      <c r="E20" s="36">
        <v>6.99</v>
      </c>
      <c r="F20" s="36">
        <v>0.2</v>
      </c>
    </row>
    <row r="21" ht="15.75" customHeight="1">
      <c r="B21" s="36">
        <v>8.28</v>
      </c>
      <c r="C21" s="36">
        <v>0.59</v>
      </c>
      <c r="D21" s="36">
        <v>3.94</v>
      </c>
      <c r="E21" s="36">
        <v>1.24</v>
      </c>
      <c r="F21" s="36">
        <v>1.87</v>
      </c>
    </row>
    <row r="22" ht="15.75" customHeight="1">
      <c r="B22" s="36">
        <v>2.15</v>
      </c>
      <c r="C22" s="36">
        <v>1.23</v>
      </c>
      <c r="D22" s="36">
        <v>1.45</v>
      </c>
      <c r="E22" s="36">
        <v>7.98</v>
      </c>
      <c r="F22" s="36">
        <v>0.3</v>
      </c>
    </row>
    <row r="23" ht="15.75" customHeight="1">
      <c r="B23" s="36">
        <v>7.68</v>
      </c>
      <c r="C23" s="36">
        <v>1.69</v>
      </c>
      <c r="D23" s="36">
        <v>2.32</v>
      </c>
      <c r="E23" s="36">
        <v>2.13</v>
      </c>
      <c r="F23" s="36">
        <v>0.88</v>
      </c>
    </row>
    <row r="24" ht="15.75" customHeight="1">
      <c r="B24" s="36">
        <v>9.02</v>
      </c>
      <c r="C24" s="36">
        <v>0.9</v>
      </c>
      <c r="D24" s="36">
        <v>2.3</v>
      </c>
      <c r="E24" s="36">
        <v>6.76</v>
      </c>
      <c r="F24" s="36">
        <v>2.01</v>
      </c>
    </row>
    <row r="25" ht="15.75" customHeight="1">
      <c r="B25" s="36">
        <v>7.33</v>
      </c>
      <c r="C25" s="36">
        <v>2.47</v>
      </c>
      <c r="D25" s="36">
        <v>3.51</v>
      </c>
      <c r="E25" s="36">
        <v>5.71</v>
      </c>
      <c r="F25" s="36">
        <v>1.07</v>
      </c>
    </row>
    <row r="26" ht="15.75" customHeight="1">
      <c r="B26" s="36">
        <v>6.98</v>
      </c>
      <c r="C26" s="36">
        <v>-0.08</v>
      </c>
      <c r="D26" s="36">
        <v>0.96</v>
      </c>
      <c r="E26" s="36">
        <v>6.63</v>
      </c>
      <c r="F26" s="36">
        <v>-0.28</v>
      </c>
    </row>
    <row r="27" ht="15.75" customHeight="1">
      <c r="B27" s="36">
        <v>4.54</v>
      </c>
      <c r="C27" s="36">
        <v>0.45</v>
      </c>
      <c r="D27" s="36">
        <v>1.13</v>
      </c>
      <c r="E27" s="36">
        <v>9.0</v>
      </c>
      <c r="F27" s="36">
        <v>1.02</v>
      </c>
    </row>
    <row r="28" ht="15.75" customHeight="1">
      <c r="B28" s="36">
        <v>5.47</v>
      </c>
      <c r="C28" s="36">
        <v>1.16</v>
      </c>
      <c r="D28" s="36">
        <v>3.63</v>
      </c>
      <c r="E28" s="36">
        <v>7.82</v>
      </c>
      <c r="F28" s="36">
        <v>1.09</v>
      </c>
    </row>
    <row r="29" ht="15.75" customHeight="1">
      <c r="B29" s="36">
        <v>6.83</v>
      </c>
      <c r="C29" s="36">
        <v>4.01</v>
      </c>
      <c r="D29" s="36">
        <v>3.57</v>
      </c>
      <c r="E29" s="36">
        <v>7.52</v>
      </c>
      <c r="F29" s="36">
        <v>2.95</v>
      </c>
    </row>
    <row r="30" ht="15.75" customHeight="1">
      <c r="B30" s="36">
        <v>4.94</v>
      </c>
      <c r="C30" s="36">
        <v>2.05</v>
      </c>
      <c r="D30" s="36">
        <v>2.39</v>
      </c>
      <c r="E30" s="36">
        <v>6.81</v>
      </c>
      <c r="F30" s="36">
        <v>1.78</v>
      </c>
    </row>
    <row r="31" ht="15.75" customHeight="1">
      <c r="B31" s="36">
        <v>7.59</v>
      </c>
      <c r="C31" s="36">
        <v>1.69</v>
      </c>
      <c r="D31" s="36">
        <v>0.92</v>
      </c>
      <c r="E31" s="36">
        <v>3.79</v>
      </c>
      <c r="F31" s="36">
        <v>2.15</v>
      </c>
    </row>
    <row r="32" ht="15.75" customHeight="1">
      <c r="B32" s="36">
        <v>3.83</v>
      </c>
      <c r="C32" s="36">
        <v>2.24</v>
      </c>
      <c r="D32" s="36">
        <v>1.45</v>
      </c>
      <c r="E32" s="36">
        <v>2.53</v>
      </c>
      <c r="F32" s="36">
        <v>1.02</v>
      </c>
    </row>
    <row r="33" ht="15.75" customHeight="1">
      <c r="B33" s="36">
        <v>6.3</v>
      </c>
      <c r="C33" s="36">
        <v>0.92</v>
      </c>
      <c r="D33" s="36">
        <v>0.58</v>
      </c>
      <c r="E33" s="36">
        <v>2.91</v>
      </c>
      <c r="F33" s="36">
        <v>0.92</v>
      </c>
    </row>
    <row r="34" ht="15.75" customHeight="1">
      <c r="B34" s="36">
        <v>7.49</v>
      </c>
      <c r="C34" s="36">
        <v>1.18</v>
      </c>
      <c r="D34" s="36">
        <v>1.57</v>
      </c>
      <c r="E34" s="36">
        <v>6.35</v>
      </c>
      <c r="F34" s="36">
        <v>1.18</v>
      </c>
    </row>
    <row r="35" ht="15.75" customHeight="1">
      <c r="B35" s="36">
        <v>5.02</v>
      </c>
      <c r="C35" s="36">
        <v>0.6</v>
      </c>
      <c r="D35" s="36">
        <v>2.51</v>
      </c>
      <c r="E35" s="36">
        <v>6.05</v>
      </c>
      <c r="F35" s="36">
        <v>1.18</v>
      </c>
    </row>
    <row r="36" ht="15.75" customHeight="1">
      <c r="B36" s="36">
        <v>5.83</v>
      </c>
      <c r="C36" s="36">
        <v>2.89</v>
      </c>
      <c r="D36" s="36">
        <v>3.57</v>
      </c>
      <c r="E36" s="36">
        <v>9.03</v>
      </c>
      <c r="F36" s="36">
        <v>2.16</v>
      </c>
    </row>
    <row r="37" ht="15.75" customHeight="1">
      <c r="B37" s="36">
        <v>2.84</v>
      </c>
      <c r="C37" s="36">
        <v>2.39</v>
      </c>
      <c r="D37" s="36">
        <v>3.78</v>
      </c>
      <c r="E37" s="36">
        <v>7.75</v>
      </c>
      <c r="F37" s="36">
        <v>-0.27</v>
      </c>
    </row>
    <row r="38" ht="15.75" customHeight="1">
      <c r="B38" s="36">
        <v>4.18</v>
      </c>
      <c r="C38" s="36">
        <v>2.71</v>
      </c>
      <c r="D38" s="36">
        <v>1.42</v>
      </c>
      <c r="E38" s="36">
        <v>6.84</v>
      </c>
      <c r="F38" s="36">
        <v>1.17</v>
      </c>
    </row>
    <row r="39" ht="15.75" customHeight="1">
      <c r="B39" s="36">
        <v>9.01</v>
      </c>
      <c r="C39" s="36">
        <v>1.96</v>
      </c>
      <c r="D39" s="36">
        <v>3.03</v>
      </c>
      <c r="E39" s="36">
        <v>3.55</v>
      </c>
      <c r="F39" s="36">
        <v>1.37</v>
      </c>
    </row>
    <row r="40" ht="15.75" customHeight="1">
      <c r="B40" s="36">
        <v>4.28</v>
      </c>
      <c r="C40" s="36">
        <v>1.17</v>
      </c>
      <c r="D40" s="36">
        <v>2.27</v>
      </c>
      <c r="E40" s="36">
        <v>6.54</v>
      </c>
      <c r="F40" s="36">
        <v>1.09</v>
      </c>
    </row>
    <row r="41" ht="15.75" customHeight="1">
      <c r="B41" s="36">
        <v>1.84</v>
      </c>
      <c r="C41" s="36">
        <v>1.42</v>
      </c>
      <c r="D41" s="36">
        <v>4.23</v>
      </c>
      <c r="E41" s="36">
        <v>2.53</v>
      </c>
      <c r="F41" s="36">
        <v>1.3</v>
      </c>
    </row>
    <row r="42" ht="15.75" customHeight="1">
      <c r="B42" s="36">
        <v>5.57</v>
      </c>
      <c r="C42" s="36">
        <v>2.06</v>
      </c>
      <c r="D42" s="36">
        <v>2.36</v>
      </c>
      <c r="E42" s="36">
        <v>9.01</v>
      </c>
      <c r="F42" s="36">
        <v>0.88</v>
      </c>
    </row>
    <row r="43" ht="15.75" customHeight="1">
      <c r="B43" s="36">
        <v>5.7</v>
      </c>
      <c r="C43" s="36">
        <v>0.23</v>
      </c>
      <c r="D43" s="36">
        <v>1.07</v>
      </c>
      <c r="E43" s="36">
        <v>6.27</v>
      </c>
      <c r="F43" s="36">
        <v>0.95</v>
      </c>
    </row>
    <row r="44" ht="15.75" customHeight="1">
      <c r="B44" s="36">
        <v>7.28</v>
      </c>
      <c r="C44" s="36">
        <v>0.67</v>
      </c>
      <c r="D44" s="36">
        <v>1.77</v>
      </c>
      <c r="E44" s="36">
        <v>3.6</v>
      </c>
      <c r="F44" s="36">
        <v>0.54</v>
      </c>
    </row>
    <row r="45" ht="15.75" customHeight="1">
      <c r="B45" s="36">
        <v>7.49</v>
      </c>
      <c r="C45" s="36">
        <v>2.9</v>
      </c>
      <c r="D45" s="36">
        <v>4.25</v>
      </c>
      <c r="E45" s="36">
        <v>3.9</v>
      </c>
      <c r="F45" s="36">
        <v>1.25</v>
      </c>
    </row>
    <row r="46" ht="15.75" customHeight="1">
      <c r="B46" s="36">
        <v>2.01</v>
      </c>
      <c r="C46" s="36">
        <v>0.14</v>
      </c>
      <c r="D46" s="36">
        <v>2.49</v>
      </c>
      <c r="E46" s="36">
        <v>2.14</v>
      </c>
      <c r="F46" s="36">
        <v>2.2</v>
      </c>
    </row>
    <row r="47" ht="15.75" customHeight="1">
      <c r="B47" s="36">
        <v>2.08</v>
      </c>
      <c r="C47" s="36">
        <v>0.56</v>
      </c>
      <c r="D47" s="36">
        <v>1.38</v>
      </c>
      <c r="E47" s="36">
        <v>4.0</v>
      </c>
      <c r="F47" s="36">
        <v>1.05</v>
      </c>
    </row>
    <row r="48" ht="15.75" customHeight="1">
      <c r="B48" s="36">
        <v>2.53</v>
      </c>
      <c r="C48" s="36">
        <v>-0.06</v>
      </c>
      <c r="D48" s="36">
        <v>0.3</v>
      </c>
      <c r="E48" s="36">
        <v>6.12</v>
      </c>
      <c r="F48" s="36">
        <v>1.66</v>
      </c>
    </row>
    <row r="49" ht="15.75" customHeight="1">
      <c r="B49" s="36">
        <v>8.64</v>
      </c>
      <c r="C49" s="36">
        <v>0.98</v>
      </c>
      <c r="D49" s="36">
        <v>0.74</v>
      </c>
      <c r="E49" s="36">
        <v>3.34</v>
      </c>
      <c r="F49" s="36">
        <v>-0.13</v>
      </c>
    </row>
    <row r="50" ht="15.75" customHeight="1">
      <c r="B50" s="36">
        <v>2.23</v>
      </c>
      <c r="C50" s="36">
        <v>1.8</v>
      </c>
      <c r="D50" s="36">
        <v>1.3</v>
      </c>
      <c r="E50" s="36">
        <v>7.67</v>
      </c>
      <c r="F50" s="36">
        <v>1.07</v>
      </c>
    </row>
    <row r="51" ht="15.75" customHeight="1">
      <c r="B51" s="36">
        <v>8.58</v>
      </c>
      <c r="C51" s="36">
        <v>2.04</v>
      </c>
      <c r="D51" s="36">
        <v>1.66</v>
      </c>
      <c r="E51" s="36">
        <v>3.58</v>
      </c>
      <c r="F51" s="36">
        <v>1.18</v>
      </c>
    </row>
    <row r="52" ht="15.75" customHeight="1">
      <c r="B52" s="36">
        <v>5.02</v>
      </c>
      <c r="C52" s="36">
        <v>1.23</v>
      </c>
      <c r="D52" s="36">
        <v>3.28</v>
      </c>
      <c r="E52" s="36">
        <v>7.45</v>
      </c>
      <c r="F52" s="36">
        <v>-0.29</v>
      </c>
    </row>
    <row r="53" ht="15.75" customHeight="1">
      <c r="B53" s="36">
        <v>4.42</v>
      </c>
      <c r="C53" s="36">
        <v>1.08</v>
      </c>
      <c r="D53" s="36">
        <v>1.63</v>
      </c>
      <c r="E53" s="36">
        <v>8.52</v>
      </c>
      <c r="F53" s="36">
        <v>5.88</v>
      </c>
    </row>
    <row r="54" ht="15.75" customHeight="1">
      <c r="B54" s="36">
        <v>7.15</v>
      </c>
      <c r="C54" s="36">
        <v>-0.06</v>
      </c>
      <c r="D54" s="36">
        <v>1.35</v>
      </c>
      <c r="E54" s="36">
        <v>7.88</v>
      </c>
      <c r="F54" s="36">
        <v>0.2</v>
      </c>
    </row>
    <row r="55" ht="15.75" customHeight="1">
      <c r="B55" s="36">
        <v>5.02</v>
      </c>
      <c r="C55" s="36">
        <v>0.43</v>
      </c>
      <c r="D55" s="36">
        <v>1.01</v>
      </c>
      <c r="E55" s="36">
        <v>7.18</v>
      </c>
      <c r="F55" s="36">
        <v>2.37</v>
      </c>
    </row>
    <row r="56" ht="15.75" customHeight="1">
      <c r="B56" s="36">
        <v>2.26</v>
      </c>
      <c r="C56" s="36">
        <v>2.07</v>
      </c>
      <c r="D56" s="36">
        <v>4.73</v>
      </c>
      <c r="E56" s="36">
        <v>6.92</v>
      </c>
      <c r="F56" s="36">
        <v>0.96</v>
      </c>
    </row>
    <row r="57" ht="15.75" customHeight="1">
      <c r="B57" s="36">
        <v>3.14</v>
      </c>
      <c r="C57" s="36">
        <v>1.11</v>
      </c>
      <c r="D57" s="36">
        <v>2.44</v>
      </c>
      <c r="E57" s="36">
        <v>0.33</v>
      </c>
      <c r="F57" s="36">
        <v>0.95</v>
      </c>
    </row>
    <row r="58" ht="15.75" customHeight="1">
      <c r="B58" s="36">
        <v>3.87</v>
      </c>
      <c r="C58" s="36">
        <v>2.27</v>
      </c>
      <c r="D58" s="36">
        <v>2.02</v>
      </c>
      <c r="E58" s="36">
        <v>4.41</v>
      </c>
      <c r="F58" s="36">
        <v>1.06</v>
      </c>
    </row>
    <row r="59" ht="15.75" customHeight="1">
      <c r="B59" s="36">
        <v>7.31</v>
      </c>
      <c r="C59" s="36">
        <v>1.37</v>
      </c>
      <c r="D59" s="36">
        <v>-0.24</v>
      </c>
      <c r="E59" s="36">
        <v>8.32</v>
      </c>
      <c r="F59" s="36">
        <v>1.79</v>
      </c>
    </row>
    <row r="60" ht="15.75" customHeight="1">
      <c r="B60" s="36">
        <v>9.03</v>
      </c>
      <c r="C60" s="36">
        <v>1.6</v>
      </c>
      <c r="D60" s="36">
        <v>2.35</v>
      </c>
      <c r="E60" s="36">
        <v>7.65</v>
      </c>
      <c r="F60" s="36">
        <v>1.3</v>
      </c>
    </row>
    <row r="61" ht="15.75" customHeight="1">
      <c r="B61" s="36">
        <v>5.23</v>
      </c>
      <c r="C61" s="36">
        <v>0.97</v>
      </c>
      <c r="D61" s="36">
        <v>0.67</v>
      </c>
      <c r="E61" s="36">
        <v>8.61</v>
      </c>
      <c r="F61" s="36">
        <v>1.52</v>
      </c>
    </row>
    <row r="62" ht="15.75" customHeight="1">
      <c r="B62" s="36">
        <v>7.06</v>
      </c>
      <c r="C62" s="36">
        <v>1.98</v>
      </c>
      <c r="D62" s="36">
        <v>1.94</v>
      </c>
      <c r="E62" s="36">
        <v>6.38</v>
      </c>
      <c r="F62" s="36">
        <v>0.96</v>
      </c>
    </row>
    <row r="63" ht="15.75" customHeight="1">
      <c r="B63" s="36">
        <v>7.8</v>
      </c>
      <c r="C63" s="36">
        <v>3.81</v>
      </c>
      <c r="D63" s="36">
        <v>5.47</v>
      </c>
      <c r="E63" s="36">
        <v>7.91</v>
      </c>
      <c r="F63" s="36">
        <v>1.62</v>
      </c>
    </row>
    <row r="64" ht="15.75" customHeight="1">
      <c r="B64" s="36">
        <v>9.01</v>
      </c>
      <c r="C64" s="36">
        <v>1.13</v>
      </c>
      <c r="D64" s="36">
        <v>2.69</v>
      </c>
      <c r="E64" s="36">
        <v>7.65</v>
      </c>
      <c r="F64" s="36">
        <v>1.4</v>
      </c>
    </row>
    <row r="65" ht="15.75" customHeight="1">
      <c r="B65" s="36">
        <v>1.56</v>
      </c>
      <c r="C65" s="36">
        <v>1.8</v>
      </c>
      <c r="D65" s="36">
        <v>1.39</v>
      </c>
      <c r="E65" s="36">
        <v>2.28</v>
      </c>
      <c r="F65" s="36">
        <v>1.13</v>
      </c>
    </row>
    <row r="66" ht="15.75" customHeight="1">
      <c r="B66" s="36">
        <v>7.12</v>
      </c>
      <c r="C66" s="36">
        <v>0.65</v>
      </c>
      <c r="D66" s="36">
        <v>2.23</v>
      </c>
      <c r="E66" s="36">
        <v>6.16</v>
      </c>
      <c r="F66" s="36">
        <v>-0.24</v>
      </c>
    </row>
    <row r="67" ht="15.75" customHeight="1">
      <c r="B67" s="36">
        <v>9.01</v>
      </c>
      <c r="C67" s="36">
        <v>2.67</v>
      </c>
      <c r="D67" s="36">
        <v>3.79</v>
      </c>
      <c r="E67" s="36">
        <v>3.86</v>
      </c>
      <c r="F67" s="36">
        <v>1.39</v>
      </c>
    </row>
    <row r="68" ht="15.75" customHeight="1">
      <c r="B68" s="36">
        <v>3.35</v>
      </c>
      <c r="C68" s="36">
        <v>2.82</v>
      </c>
      <c r="D68" s="36">
        <v>4.94</v>
      </c>
      <c r="E68" s="36">
        <v>7.06</v>
      </c>
      <c r="F68" s="36">
        <v>0.91</v>
      </c>
    </row>
    <row r="69" ht="15.75" customHeight="1">
      <c r="B69" s="36">
        <v>2.28</v>
      </c>
      <c r="C69" s="36">
        <v>0.28</v>
      </c>
      <c r="D69" s="36">
        <v>1.08</v>
      </c>
      <c r="E69" s="36">
        <v>7.81</v>
      </c>
      <c r="F69" s="36">
        <v>1.37</v>
      </c>
    </row>
    <row r="70" ht="15.75" customHeight="1">
      <c r="B70" s="36">
        <v>5.72</v>
      </c>
      <c r="C70" s="36">
        <v>0.32</v>
      </c>
      <c r="D70" s="36">
        <v>1.54</v>
      </c>
      <c r="E70" s="36">
        <v>7.37</v>
      </c>
      <c r="F70" s="36">
        <v>1.17</v>
      </c>
    </row>
    <row r="71" ht="15.75" customHeight="1">
      <c r="B71" s="36">
        <v>5.21</v>
      </c>
      <c r="C71" s="36">
        <v>2.17</v>
      </c>
      <c r="D71" s="36">
        <v>1.8</v>
      </c>
      <c r="E71" s="36">
        <v>2.29</v>
      </c>
      <c r="F71" s="36">
        <v>1.14</v>
      </c>
    </row>
    <row r="72" ht="15.75" customHeight="1">
      <c r="B72" s="36">
        <v>2.42</v>
      </c>
      <c r="C72" s="36">
        <v>1.56</v>
      </c>
      <c r="D72" s="36">
        <v>2.67</v>
      </c>
      <c r="E72" s="36">
        <v>6.42</v>
      </c>
      <c r="F72" s="36">
        <v>0.8</v>
      </c>
    </row>
    <row r="73" ht="15.75" customHeight="1">
      <c r="B73" s="36">
        <v>6.21</v>
      </c>
      <c r="C73" s="36">
        <v>3.32</v>
      </c>
      <c r="D73" s="36">
        <v>1.32</v>
      </c>
      <c r="E73" s="36">
        <v>6.98</v>
      </c>
      <c r="F73" s="36">
        <v>1.12</v>
      </c>
    </row>
    <row r="74" ht="15.75" customHeight="1">
      <c r="B74" s="36">
        <v>3.01</v>
      </c>
      <c r="C74" s="36">
        <v>0.61</v>
      </c>
      <c r="D74" s="36">
        <v>1.95</v>
      </c>
      <c r="E74" s="36">
        <v>7.97</v>
      </c>
      <c r="F74" s="36">
        <v>0.99</v>
      </c>
    </row>
    <row r="75" ht="15.75" customHeight="1">
      <c r="B75" s="36">
        <v>3.01</v>
      </c>
      <c r="C75" s="36">
        <v>0.99</v>
      </c>
      <c r="D75" s="36">
        <v>2.79</v>
      </c>
      <c r="E75" s="36">
        <v>3.41</v>
      </c>
      <c r="F75" s="36">
        <v>0.32</v>
      </c>
    </row>
    <row r="76" ht="15.75" customHeight="1">
      <c r="B76" s="36">
        <v>1.77</v>
      </c>
      <c r="C76" s="36">
        <v>1.81</v>
      </c>
      <c r="D76" s="36">
        <v>2.04</v>
      </c>
      <c r="E76" s="36">
        <v>7.6</v>
      </c>
      <c r="F76" s="36">
        <v>1.07</v>
      </c>
    </row>
    <row r="77" ht="15.75" customHeight="1">
      <c r="B77" s="36">
        <v>5.74</v>
      </c>
      <c r="C77" s="36">
        <v>2.28</v>
      </c>
      <c r="D77" s="36">
        <v>2.14</v>
      </c>
      <c r="E77" s="36">
        <v>7.81</v>
      </c>
      <c r="F77" s="36">
        <v>1.31</v>
      </c>
    </row>
    <row r="78" ht="15.75" customHeight="1">
      <c r="B78" s="36">
        <v>1.67</v>
      </c>
      <c r="C78" s="36">
        <v>2.28</v>
      </c>
      <c r="D78" s="36">
        <v>2.71</v>
      </c>
      <c r="E78" s="36">
        <v>7.83</v>
      </c>
      <c r="F78" s="36">
        <v>2.32</v>
      </c>
    </row>
    <row r="79" ht="15.75" customHeight="1">
      <c r="B79" s="36">
        <v>4.57</v>
      </c>
      <c r="C79" s="36">
        <v>2.81</v>
      </c>
      <c r="D79" s="36">
        <v>1.37</v>
      </c>
      <c r="E79" s="36">
        <v>2.71</v>
      </c>
      <c r="F79" s="36">
        <v>1.09</v>
      </c>
    </row>
    <row r="80" ht="15.75" customHeight="1">
      <c r="B80" s="36">
        <v>4.86</v>
      </c>
      <c r="C80" s="36">
        <v>-0.04</v>
      </c>
      <c r="D80" s="36">
        <v>2.1</v>
      </c>
      <c r="E80" s="36">
        <v>3.23</v>
      </c>
      <c r="F80" s="36">
        <v>1.08</v>
      </c>
    </row>
    <row r="81" ht="15.75" customHeight="1">
      <c r="B81" s="36">
        <v>2.92</v>
      </c>
      <c r="C81" s="36">
        <v>4.6</v>
      </c>
      <c r="D81" s="36">
        <v>1.81</v>
      </c>
      <c r="E81" s="36">
        <v>4.09</v>
      </c>
      <c r="F81" s="36">
        <v>1.26</v>
      </c>
    </row>
    <row r="82" ht="15.75" customHeight="1">
      <c r="B82" s="36">
        <v>2.75</v>
      </c>
      <c r="C82" s="36">
        <v>1.3</v>
      </c>
      <c r="D82" s="36">
        <v>1.41</v>
      </c>
      <c r="E82" s="36">
        <v>6.11</v>
      </c>
      <c r="F82" s="36">
        <v>0.94</v>
      </c>
    </row>
    <row r="83" ht="15.75" customHeight="1">
      <c r="B83" s="36">
        <v>7.85</v>
      </c>
      <c r="C83" s="36">
        <v>3.01</v>
      </c>
      <c r="D83" s="36">
        <v>1.6</v>
      </c>
      <c r="E83" s="36">
        <v>7.16</v>
      </c>
      <c r="F83" s="36">
        <v>1.9</v>
      </c>
    </row>
    <row r="84" ht="15.75" customHeight="1">
      <c r="B84" s="36">
        <v>3.3</v>
      </c>
      <c r="C84" s="36">
        <v>1.81</v>
      </c>
      <c r="D84" s="36">
        <v>3.3</v>
      </c>
      <c r="E84" s="36">
        <v>3.07</v>
      </c>
      <c r="F84" s="36">
        <v>1.11</v>
      </c>
    </row>
    <row r="85" ht="15.75" customHeight="1">
      <c r="B85" s="36">
        <v>2.54</v>
      </c>
      <c r="C85" s="36">
        <v>0.29</v>
      </c>
      <c r="D85" s="36">
        <v>4.05</v>
      </c>
      <c r="E85" s="36">
        <v>7.56</v>
      </c>
      <c r="F85" s="36">
        <v>1.18</v>
      </c>
    </row>
    <row r="86" ht="15.75" customHeight="1">
      <c r="B86" s="36">
        <v>6.86</v>
      </c>
      <c r="C86" s="36">
        <v>0.61</v>
      </c>
      <c r="D86" s="36">
        <v>3.19</v>
      </c>
      <c r="E86" s="36">
        <v>0.95</v>
      </c>
      <c r="F86" s="36">
        <v>1.71</v>
      </c>
    </row>
    <row r="87" ht="15.75" customHeight="1">
      <c r="B87" s="36">
        <v>1.89</v>
      </c>
      <c r="C87" s="36">
        <v>1.38</v>
      </c>
      <c r="D87" s="36">
        <v>3.17</v>
      </c>
      <c r="E87" s="36">
        <v>7.51</v>
      </c>
      <c r="F87" s="36">
        <v>2.43</v>
      </c>
    </row>
    <row r="88" ht="15.75" customHeight="1">
      <c r="B88" s="36">
        <v>5.73</v>
      </c>
      <c r="C88" s="36">
        <v>1.15</v>
      </c>
      <c r="D88" s="36">
        <v>2.07</v>
      </c>
      <c r="E88" s="36">
        <v>6.41</v>
      </c>
      <c r="F88" s="36">
        <v>0.99</v>
      </c>
    </row>
    <row r="89" ht="15.75" customHeight="1">
      <c r="B89" s="36">
        <v>7.14</v>
      </c>
      <c r="C89" s="36">
        <v>0.83</v>
      </c>
      <c r="D89" s="36">
        <v>2.95</v>
      </c>
      <c r="E89" s="36">
        <v>6.84</v>
      </c>
      <c r="F89" s="36">
        <v>0.27</v>
      </c>
    </row>
    <row r="90" ht="15.75" customHeight="1">
      <c r="B90" s="36">
        <v>6.57</v>
      </c>
      <c r="C90" s="36">
        <v>1.65</v>
      </c>
      <c r="D90" s="36">
        <v>1.86</v>
      </c>
      <c r="E90" s="36">
        <v>7.23</v>
      </c>
      <c r="F90" s="36">
        <v>1.0</v>
      </c>
    </row>
    <row r="91" ht="15.75" customHeight="1">
      <c r="B91" s="36">
        <v>7.21</v>
      </c>
      <c r="C91" s="36">
        <v>0.5</v>
      </c>
      <c r="D91" s="36">
        <v>2.52</v>
      </c>
      <c r="E91" s="36">
        <v>0.73</v>
      </c>
      <c r="F91" s="36">
        <v>0.09</v>
      </c>
    </row>
    <row r="92" ht="15.75" customHeight="1">
      <c r="B92" s="36">
        <v>6.52</v>
      </c>
      <c r="C92" s="36">
        <v>0.02</v>
      </c>
      <c r="D92" s="36">
        <v>3.51</v>
      </c>
      <c r="E92" s="36">
        <v>7.57</v>
      </c>
      <c r="F92" s="36">
        <v>1.36</v>
      </c>
    </row>
    <row r="93" ht="15.75" customHeight="1">
      <c r="B93" s="36">
        <v>4.28</v>
      </c>
      <c r="C93" s="36">
        <v>1.86</v>
      </c>
      <c r="D93" s="36">
        <v>1.74</v>
      </c>
      <c r="E93" s="36">
        <v>8.09</v>
      </c>
      <c r="F93" s="36">
        <v>0.15</v>
      </c>
    </row>
    <row r="94" ht="15.75" customHeight="1">
      <c r="B94" s="36">
        <v>7.3</v>
      </c>
      <c r="C94" s="36">
        <v>1.36</v>
      </c>
      <c r="D94" s="36">
        <v>3.87</v>
      </c>
      <c r="E94" s="36">
        <v>7.35</v>
      </c>
      <c r="F94" s="36">
        <v>1.14</v>
      </c>
    </row>
    <row r="95" ht="15.75" customHeight="1">
      <c r="B95" s="36">
        <v>6.02</v>
      </c>
      <c r="C95" s="36">
        <v>1.15</v>
      </c>
      <c r="D95" s="36">
        <v>1.89</v>
      </c>
      <c r="E95" s="36">
        <v>7.83</v>
      </c>
      <c r="F95" s="36">
        <v>1.4</v>
      </c>
    </row>
    <row r="96" ht="15.75" customHeight="1">
      <c r="B96" s="36">
        <v>1.89</v>
      </c>
      <c r="C96" s="36">
        <v>-0.31</v>
      </c>
      <c r="D96" s="36">
        <v>4.26</v>
      </c>
      <c r="E96" s="36">
        <v>7.39</v>
      </c>
      <c r="F96" s="36">
        <v>1.02</v>
      </c>
    </row>
    <row r="97" ht="15.75" customHeight="1">
      <c r="B97" s="36">
        <v>4.52</v>
      </c>
      <c r="C97" s="36">
        <v>1.74</v>
      </c>
      <c r="D97" s="36">
        <v>4.15</v>
      </c>
      <c r="E97" s="36">
        <v>8.0</v>
      </c>
      <c r="F97" s="36">
        <v>1.71</v>
      </c>
    </row>
    <row r="98" ht="15.75" customHeight="1">
      <c r="B98" s="36">
        <v>4.44</v>
      </c>
      <c r="C98" s="36">
        <v>0.44</v>
      </c>
      <c r="D98" s="36">
        <v>3.92</v>
      </c>
      <c r="E98" s="36">
        <v>9.0</v>
      </c>
      <c r="F98" s="36">
        <v>1.19</v>
      </c>
    </row>
    <row r="99" ht="15.75" customHeight="1">
      <c r="B99" s="36">
        <v>5.1</v>
      </c>
      <c r="C99" s="36">
        <v>1.08</v>
      </c>
      <c r="D99" s="36">
        <v>1.21</v>
      </c>
      <c r="E99" s="36">
        <v>6.32</v>
      </c>
      <c r="F99" s="36">
        <v>1.04</v>
      </c>
    </row>
    <row r="100" ht="15.75" customHeight="1">
      <c r="B100" s="36">
        <v>5.7</v>
      </c>
      <c r="C100" s="36">
        <v>0.33</v>
      </c>
      <c r="D100" s="36">
        <v>3.31</v>
      </c>
      <c r="E100" s="36">
        <v>0.98</v>
      </c>
      <c r="F100" s="36">
        <v>1.13</v>
      </c>
    </row>
    <row r="101" ht="15.75" customHeight="1">
      <c r="B101" s="36">
        <v>9.0</v>
      </c>
      <c r="C101" s="36">
        <v>1.22</v>
      </c>
      <c r="D101" s="36">
        <v>4.08</v>
      </c>
      <c r="E101" s="36">
        <v>7.41</v>
      </c>
      <c r="F101" s="36">
        <v>0.97</v>
      </c>
    </row>
    <row r="102" ht="15.75" customHeight="1">
      <c r="B102" s="36">
        <v>3.44</v>
      </c>
      <c r="C102" s="36">
        <v>3.73</v>
      </c>
      <c r="D102" s="36">
        <v>3.83</v>
      </c>
      <c r="E102" s="36">
        <v>4.45</v>
      </c>
      <c r="F102" s="36">
        <v>1.33</v>
      </c>
    </row>
    <row r="103" ht="15.75" customHeight="1">
      <c r="B103" s="37">
        <v>9.01</v>
      </c>
      <c r="C103" s="37">
        <v>1.88</v>
      </c>
      <c r="D103" s="37">
        <v>3.65</v>
      </c>
      <c r="E103" s="37">
        <v>7.04</v>
      </c>
      <c r="F103" s="37">
        <v>1.41</v>
      </c>
    </row>
    <row r="104" ht="15.75" customHeight="1"/>
    <row r="105" ht="15.75" customHeight="1"/>
    <row r="106" ht="15.75" customHeight="1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 ht="15.75" customHeight="1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 ht="15.75" customHeight="1">
      <c r="B108" s="40" t="s">
        <v>8</v>
      </c>
      <c r="C108" s="41">
        <v>5.2181</v>
      </c>
      <c r="D108" s="41">
        <v>2.3162</v>
      </c>
      <c r="E108" s="41">
        <v>5.22</v>
      </c>
      <c r="F108" s="41">
        <v>4.7641</v>
      </c>
      <c r="G108" s="41">
        <v>5.6721</v>
      </c>
      <c r="H108" s="42">
        <v>0.89</v>
      </c>
      <c r="I108" s="42">
        <v>9.03</v>
      </c>
      <c r="J108" s="43">
        <v>44.4</v>
      </c>
    </row>
    <row r="109" ht="15.75" customHeight="1">
      <c r="B109" s="40" t="s">
        <v>7</v>
      </c>
      <c r="C109" s="41">
        <v>1.5033</v>
      </c>
      <c r="D109" s="41">
        <v>1.0635</v>
      </c>
      <c r="E109" s="41">
        <v>1.365</v>
      </c>
      <c r="F109" s="41">
        <v>1.2949</v>
      </c>
      <c r="G109" s="41">
        <v>1.7117</v>
      </c>
      <c r="H109" s="42">
        <v>-0.31</v>
      </c>
      <c r="I109" s="42">
        <v>4.84</v>
      </c>
      <c r="J109" s="43">
        <v>70.7</v>
      </c>
    </row>
    <row r="110" ht="15.75" customHeight="1">
      <c r="B110" s="40" t="s">
        <v>12</v>
      </c>
      <c r="C110" s="41">
        <v>2.4107</v>
      </c>
      <c r="D110" s="41">
        <v>1.2052</v>
      </c>
      <c r="E110" s="41">
        <v>2.285</v>
      </c>
      <c r="F110" s="41">
        <v>2.1745</v>
      </c>
      <c r="G110" s="41">
        <v>2.6469</v>
      </c>
      <c r="H110" s="42">
        <v>-0.24</v>
      </c>
      <c r="I110" s="42">
        <v>5.47</v>
      </c>
      <c r="J110" s="43">
        <v>50.0</v>
      </c>
    </row>
    <row r="111" ht="15.75" customHeight="1">
      <c r="B111" s="40" t="s">
        <v>11</v>
      </c>
      <c r="C111" s="41">
        <v>5.8505</v>
      </c>
      <c r="D111" s="41">
        <v>2.4098</v>
      </c>
      <c r="E111" s="41">
        <v>6.825</v>
      </c>
      <c r="F111" s="41">
        <v>5.3782</v>
      </c>
      <c r="G111" s="41">
        <v>6.3228</v>
      </c>
      <c r="H111" s="42">
        <v>0.33</v>
      </c>
      <c r="I111" s="42">
        <v>9.03</v>
      </c>
      <c r="J111" s="43">
        <v>41.2</v>
      </c>
    </row>
    <row r="112" ht="15.75" customHeight="1">
      <c r="B112" s="44" t="s">
        <v>10</v>
      </c>
      <c r="C112" s="45">
        <v>1.2008</v>
      </c>
      <c r="D112" s="45">
        <v>0.7673</v>
      </c>
      <c r="E112" s="45">
        <v>1.14</v>
      </c>
      <c r="F112" s="45">
        <v>1.0504</v>
      </c>
      <c r="G112" s="45">
        <v>1.3512</v>
      </c>
      <c r="H112" s="46">
        <v>-0.29</v>
      </c>
      <c r="I112" s="47">
        <v>5.88</v>
      </c>
      <c r="J112" s="48">
        <v>63.9</v>
      </c>
    </row>
    <row r="113" ht="15.75" customHeight="1">
      <c r="B113" s="40"/>
      <c r="C113" s="41"/>
      <c r="D113" s="41"/>
      <c r="E113" s="41"/>
      <c r="F113" s="41"/>
      <c r="G113" s="41"/>
      <c r="H113" s="42"/>
      <c r="I113" s="42"/>
      <c r="J113" s="43"/>
    </row>
    <row r="114" ht="15.75" customHeight="1">
      <c r="B114" s="49"/>
      <c r="C114" s="49"/>
      <c r="D114" s="49"/>
      <c r="E114" s="49"/>
      <c r="F114" s="49"/>
      <c r="G114" s="49"/>
      <c r="H114" s="49"/>
      <c r="I114" s="49"/>
      <c r="J114" s="49"/>
    </row>
    <row r="115" ht="15.75" customHeight="1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 ht="15.75" customHeight="1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 ht="15.75" customHeight="1">
      <c r="B117" s="45">
        <v>40.3437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 ht="15.75" customHeight="1">
      <c r="B118" s="41"/>
      <c r="C118" s="42"/>
      <c r="D118" s="52"/>
      <c r="E118" s="49"/>
      <c r="F118" s="49"/>
      <c r="G118" s="49"/>
      <c r="H118" s="49"/>
      <c r="I118" s="49"/>
      <c r="J118" s="49"/>
    </row>
    <row r="119" ht="15.75" customHeight="1">
      <c r="B119" s="49"/>
      <c r="C119" s="49"/>
      <c r="D119" s="49"/>
      <c r="E119" s="49"/>
      <c r="F119" s="49"/>
      <c r="G119" s="49"/>
      <c r="H119" s="49"/>
      <c r="I119" s="49"/>
      <c r="J119" s="49"/>
    </row>
    <row r="120" ht="15.75" customHeight="1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 ht="15.75" customHeight="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 ht="15.75" customHeight="1">
      <c r="B122" s="47">
        <v>145.9087</v>
      </c>
      <c r="C122" s="47">
        <v>4.0</v>
      </c>
      <c r="D122" s="47">
        <v>10.0</v>
      </c>
      <c r="E122" s="50" t="s">
        <v>35</v>
      </c>
      <c r="F122" s="51" t="s">
        <v>41</v>
      </c>
      <c r="G122" s="49"/>
      <c r="H122" s="49"/>
      <c r="I122" s="49"/>
      <c r="J122" s="49"/>
    </row>
    <row r="123" ht="15.75" customHeight="1">
      <c r="B123" s="42"/>
      <c r="C123" s="42"/>
      <c r="D123" s="42"/>
      <c r="E123" s="42"/>
      <c r="F123" s="52"/>
      <c r="G123" s="49"/>
      <c r="H123" s="49"/>
      <c r="I123" s="49"/>
      <c r="J123" s="49"/>
    </row>
    <row r="124" ht="15.75" customHeight="1">
      <c r="B124" s="49"/>
      <c r="C124" s="49"/>
      <c r="D124" s="49"/>
      <c r="E124" s="49"/>
      <c r="F124" s="49"/>
      <c r="G124" s="49"/>
      <c r="H124" s="49"/>
      <c r="I124" s="49"/>
      <c r="J124" s="49"/>
    </row>
    <row r="125" ht="15.75" customHeight="1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 ht="15.75" customHeight="1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 ht="15.75" customHeight="1">
      <c r="B127" s="40" t="s">
        <v>8</v>
      </c>
      <c r="C127" s="40" t="s">
        <v>7</v>
      </c>
      <c r="D127" s="41">
        <v>3.7148</v>
      </c>
      <c r="E127" s="41">
        <v>0.2549</v>
      </c>
      <c r="F127" s="41">
        <v>3.2109</v>
      </c>
      <c r="G127" s="41">
        <v>4.2187</v>
      </c>
      <c r="H127" s="53" t="s">
        <v>35</v>
      </c>
      <c r="I127" s="52" t="s">
        <v>48</v>
      </c>
      <c r="J127" s="49"/>
    </row>
    <row r="128" ht="15.75" customHeight="1">
      <c r="B128" s="40" t="s">
        <v>8</v>
      </c>
      <c r="C128" s="40" t="s">
        <v>12</v>
      </c>
      <c r="D128" s="41">
        <v>2.8074</v>
      </c>
      <c r="E128" s="41">
        <v>0.2611</v>
      </c>
      <c r="F128" s="41">
        <v>2.2915</v>
      </c>
      <c r="G128" s="41">
        <v>3.3233</v>
      </c>
      <c r="H128" s="53" t="s">
        <v>35</v>
      </c>
      <c r="I128" s="52" t="s">
        <v>48</v>
      </c>
      <c r="J128" s="49"/>
    </row>
    <row r="129" ht="15.75" customHeight="1">
      <c r="B129" s="40" t="s">
        <v>8</v>
      </c>
      <c r="C129" s="40" t="s">
        <v>11</v>
      </c>
      <c r="D129" s="41">
        <v>-0.6324</v>
      </c>
      <c r="E129" s="41">
        <v>0.3342</v>
      </c>
      <c r="F129" s="41">
        <v>-1.2915</v>
      </c>
      <c r="G129" s="41">
        <v>0.0267</v>
      </c>
      <c r="H129" s="53">
        <v>0.0599</v>
      </c>
      <c r="I129" s="52" t="s">
        <v>49</v>
      </c>
      <c r="J129" s="49"/>
    </row>
    <row r="130" ht="15.75" customHeight="1">
      <c r="B130" s="40" t="s">
        <v>8</v>
      </c>
      <c r="C130" s="40" t="s">
        <v>10</v>
      </c>
      <c r="D130" s="41">
        <v>4.0173</v>
      </c>
      <c r="E130" s="41">
        <v>0.244</v>
      </c>
      <c r="F130" s="41">
        <v>3.5342</v>
      </c>
      <c r="G130" s="41">
        <v>4.5004</v>
      </c>
      <c r="H130" s="53" t="s">
        <v>35</v>
      </c>
      <c r="I130" s="52" t="s">
        <v>48</v>
      </c>
      <c r="J130" s="49"/>
    </row>
    <row r="131" ht="15.75" customHeight="1">
      <c r="B131" s="40" t="s">
        <v>7</v>
      </c>
      <c r="C131" s="40" t="s">
        <v>12</v>
      </c>
      <c r="D131" s="41">
        <v>-0.9074</v>
      </c>
      <c r="E131" s="41">
        <v>0.1607</v>
      </c>
      <c r="F131" s="41">
        <v>-1.2244</v>
      </c>
      <c r="G131" s="41">
        <v>-0.5904</v>
      </c>
      <c r="H131" s="53" t="s">
        <v>35</v>
      </c>
      <c r="I131" s="52" t="s">
        <v>48</v>
      </c>
      <c r="J131" s="49"/>
    </row>
    <row r="132" ht="15.75" customHeight="1">
      <c r="B132" s="40" t="s">
        <v>7</v>
      </c>
      <c r="C132" s="40" t="s">
        <v>11</v>
      </c>
      <c r="D132" s="41">
        <v>-4.3472</v>
      </c>
      <c r="E132" s="41">
        <v>0.2634</v>
      </c>
      <c r="F132" s="41">
        <v>-4.8681</v>
      </c>
      <c r="G132" s="41">
        <v>-3.8263</v>
      </c>
      <c r="H132" s="53" t="s">
        <v>35</v>
      </c>
      <c r="I132" s="52" t="s">
        <v>48</v>
      </c>
      <c r="J132" s="49"/>
    </row>
    <row r="133" ht="15.75" customHeight="1">
      <c r="B133" s="40" t="s">
        <v>7</v>
      </c>
      <c r="C133" s="40" t="s">
        <v>10</v>
      </c>
      <c r="D133" s="41">
        <v>0.3025</v>
      </c>
      <c r="E133" s="41">
        <v>0.1311</v>
      </c>
      <c r="F133" s="41">
        <v>0.0437</v>
      </c>
      <c r="G133" s="41">
        <v>0.5613</v>
      </c>
      <c r="H133" s="53">
        <v>0.0222</v>
      </c>
      <c r="I133" s="52" t="s">
        <v>48</v>
      </c>
      <c r="J133" s="49"/>
    </row>
    <row r="134" ht="15.75" customHeight="1">
      <c r="B134" s="40" t="s">
        <v>12</v>
      </c>
      <c r="C134" s="40" t="s">
        <v>11</v>
      </c>
      <c r="D134" s="41">
        <v>-3.4398</v>
      </c>
      <c r="E134" s="41">
        <v>0.2694</v>
      </c>
      <c r="F134" s="41">
        <v>-3.9723</v>
      </c>
      <c r="G134" s="41">
        <v>-2.9073</v>
      </c>
      <c r="H134" s="53" t="s">
        <v>35</v>
      </c>
      <c r="I134" s="52" t="s">
        <v>48</v>
      </c>
      <c r="J134" s="49"/>
    </row>
    <row r="135" ht="15.75" customHeight="1">
      <c r="B135" s="40" t="s">
        <v>12</v>
      </c>
      <c r="C135" s="40" t="s">
        <v>10</v>
      </c>
      <c r="D135" s="41">
        <v>1.2099</v>
      </c>
      <c r="E135" s="41">
        <v>0.1429</v>
      </c>
      <c r="F135" s="41">
        <v>0.9278</v>
      </c>
      <c r="G135" s="41">
        <v>1.492</v>
      </c>
      <c r="H135" s="53" t="s">
        <v>35</v>
      </c>
      <c r="I135" s="52" t="s">
        <v>48</v>
      </c>
      <c r="J135" s="49"/>
    </row>
    <row r="136" ht="15.75" customHeight="1">
      <c r="B136" s="44" t="s">
        <v>11</v>
      </c>
      <c r="C136" s="44" t="s">
        <v>10</v>
      </c>
      <c r="D136" s="45">
        <v>4.6497</v>
      </c>
      <c r="E136" s="45">
        <v>0.2529</v>
      </c>
      <c r="F136" s="45">
        <v>4.1489</v>
      </c>
      <c r="G136" s="45">
        <v>5.1505</v>
      </c>
      <c r="H136" s="54" t="s">
        <v>35</v>
      </c>
      <c r="I136" s="51" t="s">
        <v>48</v>
      </c>
      <c r="J136" s="49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5">
    <mergeCell ref="B2:F2"/>
    <mergeCell ref="B106:J106"/>
    <mergeCell ref="B115:D115"/>
    <mergeCell ref="B120:F120"/>
    <mergeCell ref="B125:I1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63"/>
    <col customWidth="1" min="3" max="3" width="11.88"/>
    <col customWidth="1" min="4" max="4" width="15.88"/>
    <col customWidth="1" min="5" max="5" width="11.88"/>
    <col customWidth="1" min="6" max="6" width="13.88"/>
    <col customWidth="1" min="7" max="7" width="15.13"/>
    <col customWidth="1" min="8" max="10" width="11.88"/>
    <col customWidth="1" min="11" max="26" width="8.63"/>
  </cols>
  <sheetData>
    <row r="2">
      <c r="B2" s="33" t="s">
        <v>53</v>
      </c>
      <c r="C2" s="34"/>
      <c r="D2" s="34"/>
      <c r="E2" s="34"/>
      <c r="F2" s="34"/>
    </row>
    <row r="3">
      <c r="B3" s="35" t="s">
        <v>8</v>
      </c>
      <c r="C3" s="35" t="s">
        <v>7</v>
      </c>
      <c r="D3" s="35" t="s">
        <v>12</v>
      </c>
      <c r="E3" s="35" t="s">
        <v>9</v>
      </c>
      <c r="F3" s="35" t="s">
        <v>10</v>
      </c>
    </row>
    <row r="4">
      <c r="B4" s="36">
        <v>4.32</v>
      </c>
      <c r="C4" s="36">
        <v>2.91</v>
      </c>
      <c r="D4" s="36">
        <v>1.77</v>
      </c>
      <c r="E4" s="36">
        <v>2.9</v>
      </c>
      <c r="F4" s="36">
        <v>9.01</v>
      </c>
    </row>
    <row r="5">
      <c r="B5" s="36">
        <v>9.02</v>
      </c>
      <c r="C5" s="36">
        <v>5.75</v>
      </c>
      <c r="D5" s="36">
        <v>6.18</v>
      </c>
      <c r="E5" s="36">
        <v>1.99</v>
      </c>
      <c r="F5" s="36">
        <v>2.84</v>
      </c>
    </row>
    <row r="6">
      <c r="B6" s="36">
        <v>9.01</v>
      </c>
      <c r="C6" s="36">
        <v>6.64</v>
      </c>
      <c r="D6" s="36">
        <v>7.6</v>
      </c>
      <c r="E6" s="36">
        <v>2.97</v>
      </c>
      <c r="F6" s="36">
        <v>5.99</v>
      </c>
    </row>
    <row r="7">
      <c r="B7" s="36">
        <v>3.9</v>
      </c>
      <c r="C7" s="36">
        <v>9.02</v>
      </c>
      <c r="D7" s="36">
        <v>6.69</v>
      </c>
      <c r="E7" s="36">
        <v>4.88</v>
      </c>
      <c r="F7" s="36">
        <v>9.0</v>
      </c>
    </row>
    <row r="8">
      <c r="B8" s="36">
        <v>6.07</v>
      </c>
      <c r="C8" s="36">
        <v>6.03</v>
      </c>
      <c r="D8" s="36">
        <v>4.7</v>
      </c>
      <c r="E8" s="36">
        <v>2.02</v>
      </c>
      <c r="F8" s="36">
        <v>3.31</v>
      </c>
    </row>
    <row r="9">
      <c r="B9" s="36">
        <v>4.5</v>
      </c>
      <c r="C9" s="36">
        <v>1.92</v>
      </c>
      <c r="D9" s="36">
        <v>7.47</v>
      </c>
      <c r="E9" s="36">
        <v>0.51</v>
      </c>
      <c r="F9" s="36">
        <v>9.03</v>
      </c>
    </row>
    <row r="10">
      <c r="B10" s="36">
        <v>9.0</v>
      </c>
      <c r="C10" s="36">
        <v>-0.22</v>
      </c>
      <c r="D10" s="36">
        <v>4.4</v>
      </c>
      <c r="E10" s="36">
        <v>1.82</v>
      </c>
      <c r="F10" s="36">
        <v>8.63</v>
      </c>
    </row>
    <row r="11">
      <c r="B11" s="36">
        <v>4.12</v>
      </c>
      <c r="C11" s="36">
        <v>5.2</v>
      </c>
      <c r="D11" s="36">
        <v>6.14</v>
      </c>
      <c r="E11" s="36">
        <v>1.41</v>
      </c>
      <c r="F11" s="36">
        <v>5.25</v>
      </c>
    </row>
    <row r="12">
      <c r="B12" s="36">
        <v>5.56</v>
      </c>
      <c r="C12" s="36">
        <v>2.24</v>
      </c>
      <c r="D12" s="36">
        <v>8.21</v>
      </c>
      <c r="E12" s="36">
        <v>2.76</v>
      </c>
      <c r="F12" s="36">
        <v>0.87</v>
      </c>
    </row>
    <row r="13">
      <c r="B13" s="36">
        <v>9.03</v>
      </c>
      <c r="C13" s="36">
        <v>4.7</v>
      </c>
      <c r="D13" s="36">
        <v>6.69</v>
      </c>
      <c r="E13" s="36">
        <v>2.74</v>
      </c>
      <c r="F13" s="36">
        <v>9.03</v>
      </c>
    </row>
    <row r="14">
      <c r="B14" s="36">
        <v>2.38</v>
      </c>
      <c r="C14" s="36">
        <v>9.0</v>
      </c>
      <c r="D14" s="36">
        <v>3.81</v>
      </c>
      <c r="E14" s="36">
        <v>1.6</v>
      </c>
      <c r="F14" s="36">
        <v>3.79</v>
      </c>
    </row>
    <row r="15">
      <c r="B15" s="36">
        <v>9.01</v>
      </c>
      <c r="C15" s="36">
        <v>8.71</v>
      </c>
      <c r="D15" s="36">
        <v>6.08</v>
      </c>
      <c r="E15" s="36">
        <v>2.75</v>
      </c>
      <c r="F15" s="36">
        <v>8.22</v>
      </c>
    </row>
    <row r="16">
      <c r="B16" s="36">
        <v>2.82</v>
      </c>
      <c r="C16" s="36">
        <v>4.69</v>
      </c>
      <c r="D16" s="36">
        <v>4.8</v>
      </c>
      <c r="E16" s="36">
        <v>0.89</v>
      </c>
      <c r="F16" s="36">
        <v>9.01</v>
      </c>
    </row>
    <row r="17">
      <c r="B17" s="36">
        <v>9.02</v>
      </c>
      <c r="C17" s="36">
        <v>1.64</v>
      </c>
      <c r="D17" s="36">
        <v>7.35</v>
      </c>
      <c r="E17" s="36">
        <v>2.09</v>
      </c>
      <c r="F17" s="36">
        <v>1.18</v>
      </c>
    </row>
    <row r="18">
      <c r="B18" s="36">
        <v>9.01</v>
      </c>
      <c r="C18" s="36">
        <v>3.91</v>
      </c>
      <c r="D18" s="36">
        <v>5.15</v>
      </c>
      <c r="E18" s="36">
        <v>3.87</v>
      </c>
      <c r="F18" s="36">
        <v>7.2</v>
      </c>
    </row>
    <row r="19">
      <c r="B19" s="36">
        <v>8.02</v>
      </c>
      <c r="C19" s="36">
        <v>1.44</v>
      </c>
      <c r="D19" s="36">
        <v>1.26</v>
      </c>
      <c r="E19" s="36">
        <v>2.37</v>
      </c>
      <c r="F19" s="36">
        <v>6.61</v>
      </c>
    </row>
    <row r="20">
      <c r="B20" s="36">
        <v>9.02</v>
      </c>
      <c r="C20" s="36">
        <v>8.71</v>
      </c>
      <c r="D20" s="36">
        <v>2.49</v>
      </c>
      <c r="E20" s="36">
        <v>1.41</v>
      </c>
      <c r="F20" s="36">
        <v>9.04</v>
      </c>
    </row>
    <row r="21" ht="15.75" customHeight="1">
      <c r="B21" s="36">
        <v>3.82</v>
      </c>
      <c r="C21" s="36">
        <v>9.02</v>
      </c>
      <c r="D21" s="36">
        <v>5.89</v>
      </c>
      <c r="E21" s="36">
        <v>2.3</v>
      </c>
      <c r="F21" s="36">
        <v>1.53</v>
      </c>
    </row>
    <row r="22" ht="15.75" customHeight="1">
      <c r="B22" s="36">
        <v>2.02</v>
      </c>
      <c r="C22" s="36">
        <v>8.95</v>
      </c>
      <c r="D22" s="36">
        <v>4.53</v>
      </c>
      <c r="E22" s="36">
        <v>3.54</v>
      </c>
      <c r="F22" s="36">
        <v>1.47</v>
      </c>
    </row>
    <row r="23" ht="15.75" customHeight="1">
      <c r="B23" s="36">
        <v>4.86</v>
      </c>
      <c r="C23" s="36">
        <v>9.03</v>
      </c>
      <c r="D23" s="36">
        <v>5.47</v>
      </c>
      <c r="E23" s="36">
        <v>0.91</v>
      </c>
      <c r="F23" s="36">
        <v>3.9</v>
      </c>
    </row>
    <row r="24" ht="15.75" customHeight="1">
      <c r="B24" s="36">
        <v>9.02</v>
      </c>
      <c r="C24" s="36">
        <v>4.27</v>
      </c>
      <c r="D24" s="36">
        <v>9.02</v>
      </c>
      <c r="E24" s="36">
        <v>2.51</v>
      </c>
      <c r="F24" s="36">
        <v>9.01</v>
      </c>
    </row>
    <row r="25" ht="15.75" customHeight="1">
      <c r="B25" s="36">
        <v>9.01</v>
      </c>
      <c r="C25" s="36">
        <v>4.16</v>
      </c>
      <c r="D25" s="36">
        <v>4.6</v>
      </c>
      <c r="E25" s="36">
        <v>1.89</v>
      </c>
      <c r="F25" s="36">
        <v>2.72</v>
      </c>
    </row>
    <row r="26" ht="15.75" customHeight="1">
      <c r="B26" s="36">
        <v>7.15</v>
      </c>
      <c r="C26" s="36">
        <v>1.73</v>
      </c>
      <c r="D26" s="36">
        <v>3.5</v>
      </c>
      <c r="E26" s="36">
        <v>1.76</v>
      </c>
      <c r="F26" s="36">
        <v>-0.2</v>
      </c>
    </row>
    <row r="27" ht="15.75" customHeight="1">
      <c r="B27" s="36">
        <v>9.03</v>
      </c>
      <c r="C27" s="36">
        <v>6.49</v>
      </c>
      <c r="D27" s="36">
        <v>5.7</v>
      </c>
      <c r="E27" s="36">
        <v>2.16</v>
      </c>
      <c r="F27" s="36">
        <v>3.59</v>
      </c>
    </row>
    <row r="28" ht="15.75" customHeight="1">
      <c r="B28" s="36">
        <v>9.03</v>
      </c>
      <c r="C28" s="36">
        <v>4.54</v>
      </c>
      <c r="D28" s="36">
        <v>2.37</v>
      </c>
      <c r="E28" s="36">
        <v>1.57</v>
      </c>
      <c r="F28" s="36">
        <v>4.87</v>
      </c>
    </row>
    <row r="29" ht="15.75" customHeight="1">
      <c r="B29" s="36">
        <v>9.01</v>
      </c>
      <c r="C29" s="36">
        <v>5.53</v>
      </c>
      <c r="D29" s="36">
        <v>8.24</v>
      </c>
      <c r="E29" s="36">
        <v>0.37</v>
      </c>
      <c r="F29" s="36">
        <v>3.07</v>
      </c>
    </row>
    <row r="30" ht="15.75" customHeight="1">
      <c r="B30" s="36">
        <v>9.02</v>
      </c>
      <c r="C30" s="36">
        <v>5.8</v>
      </c>
      <c r="D30" s="36">
        <v>5.29</v>
      </c>
      <c r="E30" s="36">
        <v>3.19</v>
      </c>
      <c r="F30" s="36">
        <v>4.09</v>
      </c>
    </row>
    <row r="31" ht="15.75" customHeight="1">
      <c r="B31" s="36">
        <v>8.55</v>
      </c>
      <c r="C31" s="36">
        <v>3.82</v>
      </c>
      <c r="D31" s="36">
        <v>6.23</v>
      </c>
      <c r="E31" s="36">
        <v>0.52</v>
      </c>
      <c r="F31" s="36">
        <v>1.7</v>
      </c>
    </row>
    <row r="32" ht="15.75" customHeight="1">
      <c r="B32" s="36">
        <v>9.01</v>
      </c>
      <c r="C32" s="36">
        <v>7.99</v>
      </c>
      <c r="D32" s="36">
        <v>6.01</v>
      </c>
      <c r="E32" s="36">
        <v>2.44</v>
      </c>
      <c r="F32" s="36">
        <v>1.0</v>
      </c>
    </row>
    <row r="33" ht="15.75" customHeight="1">
      <c r="B33" s="36">
        <v>9.04</v>
      </c>
      <c r="C33" s="36">
        <v>4.86</v>
      </c>
      <c r="D33" s="36">
        <v>2.69</v>
      </c>
      <c r="E33" s="36">
        <v>3.93</v>
      </c>
      <c r="F33" s="36">
        <v>5.69</v>
      </c>
    </row>
    <row r="34" ht="15.75" customHeight="1">
      <c r="B34" s="36">
        <v>9.02</v>
      </c>
      <c r="C34" s="36">
        <v>6.11</v>
      </c>
      <c r="D34" s="36">
        <v>6.65</v>
      </c>
      <c r="E34" s="36">
        <v>1.84</v>
      </c>
      <c r="F34" s="36">
        <v>5.19</v>
      </c>
    </row>
    <row r="35" ht="15.75" customHeight="1">
      <c r="B35" s="36">
        <v>7.0</v>
      </c>
      <c r="C35" s="36">
        <v>3.7</v>
      </c>
      <c r="D35" s="36">
        <v>5.49</v>
      </c>
      <c r="E35" s="36">
        <v>0.65</v>
      </c>
      <c r="F35" s="36">
        <v>4.55</v>
      </c>
    </row>
    <row r="36" ht="15.75" customHeight="1">
      <c r="B36" s="36">
        <v>7.0</v>
      </c>
      <c r="C36" s="36">
        <v>6.36</v>
      </c>
      <c r="D36" s="36">
        <v>5.36</v>
      </c>
      <c r="E36" s="36">
        <v>0.88</v>
      </c>
      <c r="F36" s="36">
        <v>9.01</v>
      </c>
    </row>
    <row r="37" ht="15.75" customHeight="1">
      <c r="B37" s="36">
        <v>2.87</v>
      </c>
      <c r="C37" s="36">
        <v>9.01</v>
      </c>
      <c r="D37" s="36">
        <v>6.91</v>
      </c>
      <c r="E37" s="36">
        <v>2.75</v>
      </c>
      <c r="F37" s="36">
        <v>1.14</v>
      </c>
    </row>
    <row r="38" ht="15.75" customHeight="1">
      <c r="B38" s="36">
        <v>9.02</v>
      </c>
      <c r="C38" s="36">
        <v>1.46</v>
      </c>
      <c r="D38" s="36">
        <v>4.31</v>
      </c>
      <c r="E38" s="36">
        <v>0.87</v>
      </c>
      <c r="F38" s="36">
        <v>9.02</v>
      </c>
    </row>
    <row r="39" ht="15.75" customHeight="1">
      <c r="B39" s="36">
        <v>9.03</v>
      </c>
      <c r="C39" s="36">
        <v>4.8</v>
      </c>
      <c r="D39" s="36">
        <v>5.93</v>
      </c>
      <c r="E39" s="36">
        <v>1.04</v>
      </c>
      <c r="F39" s="36">
        <v>4.87</v>
      </c>
    </row>
    <row r="40" ht="15.75" customHeight="1">
      <c r="B40" s="36">
        <v>9.01</v>
      </c>
      <c r="C40" s="36">
        <v>6.04</v>
      </c>
      <c r="D40" s="36">
        <v>2.28</v>
      </c>
      <c r="E40" s="36">
        <v>3.14</v>
      </c>
      <c r="F40" s="36">
        <v>6.97</v>
      </c>
    </row>
    <row r="41" ht="15.75" customHeight="1">
      <c r="B41" s="36">
        <v>8.6</v>
      </c>
      <c r="C41" s="36">
        <v>5.96</v>
      </c>
      <c r="D41" s="36">
        <v>4.14</v>
      </c>
      <c r="E41" s="36">
        <v>1.01</v>
      </c>
      <c r="F41" s="36">
        <v>5.35</v>
      </c>
    </row>
    <row r="42" ht="15.75" customHeight="1">
      <c r="B42" s="36">
        <v>4.08</v>
      </c>
      <c r="C42" s="36">
        <v>2.86</v>
      </c>
      <c r="D42" s="36">
        <v>5.35</v>
      </c>
      <c r="E42" s="36">
        <v>2.58</v>
      </c>
      <c r="F42" s="36">
        <v>5.27</v>
      </c>
    </row>
    <row r="43" ht="15.75" customHeight="1">
      <c r="B43" s="36">
        <v>0.61</v>
      </c>
      <c r="C43" s="36">
        <v>6.3</v>
      </c>
      <c r="D43" s="36">
        <v>4.92</v>
      </c>
      <c r="E43" s="36">
        <v>1.78</v>
      </c>
      <c r="F43" s="36">
        <v>0.68</v>
      </c>
    </row>
    <row r="44" ht="15.75" customHeight="1">
      <c r="B44" s="36">
        <v>1.98</v>
      </c>
      <c r="C44" s="36">
        <v>2.54</v>
      </c>
      <c r="D44" s="36">
        <v>5.03</v>
      </c>
      <c r="E44" s="36">
        <v>7.99</v>
      </c>
      <c r="F44" s="36">
        <v>2.64</v>
      </c>
    </row>
    <row r="45" ht="15.75" customHeight="1">
      <c r="B45" s="36">
        <v>9.01</v>
      </c>
      <c r="C45" s="36">
        <v>6.4</v>
      </c>
      <c r="D45" s="36">
        <v>4.72</v>
      </c>
      <c r="E45" s="36">
        <v>2.27</v>
      </c>
      <c r="F45" s="36">
        <v>1.51</v>
      </c>
    </row>
    <row r="46" ht="15.75" customHeight="1">
      <c r="B46" s="36">
        <v>9.03</v>
      </c>
      <c r="C46" s="36">
        <v>4.16</v>
      </c>
      <c r="D46" s="36">
        <v>2.35</v>
      </c>
      <c r="E46" s="36">
        <v>1.77</v>
      </c>
      <c r="F46" s="36">
        <v>2.59</v>
      </c>
    </row>
    <row r="47" ht="15.75" customHeight="1">
      <c r="B47" s="36">
        <v>9.01</v>
      </c>
      <c r="C47" s="36">
        <v>4.06</v>
      </c>
      <c r="D47" s="36">
        <v>5.33</v>
      </c>
      <c r="E47" s="36">
        <v>5.26</v>
      </c>
      <c r="F47" s="36">
        <v>1.15</v>
      </c>
    </row>
    <row r="48" ht="15.75" customHeight="1">
      <c r="B48" s="36">
        <v>9.03</v>
      </c>
      <c r="C48" s="36">
        <v>4.5</v>
      </c>
      <c r="D48" s="36">
        <v>7.02</v>
      </c>
      <c r="E48" s="36">
        <v>2.31</v>
      </c>
      <c r="F48" s="36">
        <v>8.3</v>
      </c>
    </row>
    <row r="49" ht="15.75" customHeight="1">
      <c r="B49" s="36">
        <v>9.01</v>
      </c>
      <c r="C49" s="36">
        <v>2.23</v>
      </c>
      <c r="D49" s="36">
        <v>1.08</v>
      </c>
      <c r="E49" s="36">
        <v>1.58</v>
      </c>
      <c r="F49" s="36">
        <v>4.29</v>
      </c>
    </row>
    <row r="50" ht="15.75" customHeight="1">
      <c r="B50" s="36">
        <v>9.02</v>
      </c>
      <c r="C50" s="36">
        <v>4.72</v>
      </c>
      <c r="D50" s="36">
        <v>6.17</v>
      </c>
      <c r="E50" s="36">
        <v>0.2</v>
      </c>
      <c r="F50" s="36">
        <v>1.41</v>
      </c>
    </row>
    <row r="51" ht="15.75" customHeight="1">
      <c r="B51" s="36">
        <v>9.02</v>
      </c>
      <c r="C51" s="36">
        <v>4.97</v>
      </c>
      <c r="D51" s="36">
        <v>5.35</v>
      </c>
      <c r="E51" s="36">
        <v>2.52</v>
      </c>
      <c r="F51" s="36">
        <v>8.32</v>
      </c>
    </row>
    <row r="52" ht="15.75" customHeight="1">
      <c r="B52" s="36">
        <v>1.67</v>
      </c>
      <c r="C52" s="36">
        <v>6.8</v>
      </c>
      <c r="D52" s="36">
        <v>3.87</v>
      </c>
      <c r="E52" s="36">
        <v>2.05</v>
      </c>
      <c r="F52" s="36">
        <v>1.53</v>
      </c>
    </row>
    <row r="53" ht="15.75" customHeight="1">
      <c r="B53" s="36">
        <v>9.0</v>
      </c>
      <c r="C53" s="36">
        <v>4.0</v>
      </c>
      <c r="D53" s="36">
        <v>5.13</v>
      </c>
      <c r="E53" s="36">
        <v>3.03</v>
      </c>
      <c r="F53" s="36">
        <v>9.03</v>
      </c>
    </row>
    <row r="54" ht="15.75" customHeight="1">
      <c r="B54" s="36">
        <v>4.28</v>
      </c>
      <c r="C54" s="36">
        <v>9.02</v>
      </c>
      <c r="D54" s="36">
        <v>4.46</v>
      </c>
      <c r="E54" s="36">
        <v>1.43</v>
      </c>
      <c r="F54" s="36">
        <v>1.68</v>
      </c>
    </row>
    <row r="55" ht="15.75" customHeight="1">
      <c r="B55" s="36">
        <v>2.56</v>
      </c>
      <c r="C55" s="36">
        <v>3.96</v>
      </c>
      <c r="D55" s="36">
        <v>5.74</v>
      </c>
      <c r="E55" s="36">
        <v>0.61</v>
      </c>
      <c r="F55" s="36">
        <v>1.94</v>
      </c>
    </row>
    <row r="56" ht="15.75" customHeight="1">
      <c r="B56" s="36">
        <v>9.01</v>
      </c>
      <c r="C56" s="36">
        <v>3.14</v>
      </c>
      <c r="D56" s="36">
        <v>5.33</v>
      </c>
      <c r="E56" s="36">
        <v>-0.21</v>
      </c>
      <c r="F56" s="36">
        <v>1.76</v>
      </c>
    </row>
    <row r="57" ht="15.75" customHeight="1">
      <c r="B57" s="36">
        <v>2.88</v>
      </c>
      <c r="C57" s="36">
        <v>2.22</v>
      </c>
      <c r="D57" s="36">
        <v>4.49</v>
      </c>
      <c r="E57" s="36">
        <v>1.54</v>
      </c>
      <c r="F57" s="36">
        <v>0.95</v>
      </c>
    </row>
    <row r="58" ht="15.75" customHeight="1">
      <c r="B58" s="36">
        <v>6.56</v>
      </c>
      <c r="C58" s="36">
        <v>5.18</v>
      </c>
      <c r="D58" s="36">
        <v>4.14</v>
      </c>
      <c r="E58" s="36">
        <v>1.54</v>
      </c>
      <c r="F58" s="36">
        <v>4.07</v>
      </c>
    </row>
    <row r="59" ht="15.75" customHeight="1">
      <c r="B59" s="36">
        <v>9.02</v>
      </c>
      <c r="C59" s="36">
        <v>0.84</v>
      </c>
      <c r="D59" s="36">
        <v>3.83</v>
      </c>
      <c r="E59" s="36">
        <v>1.57</v>
      </c>
      <c r="F59" s="36">
        <v>3.9</v>
      </c>
    </row>
    <row r="60" ht="15.75" customHeight="1">
      <c r="B60" s="36">
        <v>7.29</v>
      </c>
      <c r="C60" s="36">
        <v>8.63</v>
      </c>
      <c r="D60" s="36">
        <v>3.71</v>
      </c>
      <c r="E60" s="36">
        <v>2.51</v>
      </c>
      <c r="F60" s="36">
        <v>9.01</v>
      </c>
    </row>
    <row r="61" ht="15.75" customHeight="1">
      <c r="B61" s="36">
        <v>9.01</v>
      </c>
      <c r="C61" s="36">
        <v>4.99</v>
      </c>
      <c r="D61" s="36">
        <v>3.18</v>
      </c>
      <c r="E61" s="36">
        <v>5.8</v>
      </c>
      <c r="F61" s="36">
        <v>7.24</v>
      </c>
    </row>
    <row r="62" ht="15.75" customHeight="1">
      <c r="B62" s="36">
        <v>4.43</v>
      </c>
      <c r="C62" s="36">
        <v>1.6</v>
      </c>
      <c r="D62" s="36">
        <v>5.05</v>
      </c>
      <c r="E62" s="36">
        <v>1.32</v>
      </c>
      <c r="F62" s="36">
        <v>5.58</v>
      </c>
    </row>
    <row r="63" ht="15.75" customHeight="1">
      <c r="B63" s="36">
        <v>4.4</v>
      </c>
      <c r="C63" s="36">
        <v>9.01</v>
      </c>
      <c r="D63" s="36">
        <v>6.65</v>
      </c>
      <c r="E63" s="36">
        <v>3.25</v>
      </c>
      <c r="F63" s="36">
        <v>1.54</v>
      </c>
    </row>
    <row r="64" ht="15.75" customHeight="1">
      <c r="B64" s="36">
        <v>8.02</v>
      </c>
      <c r="C64" s="36">
        <v>2.77</v>
      </c>
      <c r="D64" s="36">
        <v>6.56</v>
      </c>
      <c r="E64" s="36">
        <v>2.79</v>
      </c>
      <c r="F64" s="36">
        <v>2.18</v>
      </c>
    </row>
    <row r="65" ht="15.75" customHeight="1">
      <c r="B65" s="36">
        <v>7.39</v>
      </c>
      <c r="C65" s="36">
        <v>1.79</v>
      </c>
      <c r="D65" s="36">
        <v>2.89</v>
      </c>
      <c r="E65" s="36">
        <v>1.3</v>
      </c>
      <c r="F65" s="36">
        <v>9.0</v>
      </c>
    </row>
    <row r="66" ht="15.75" customHeight="1">
      <c r="B66" s="36">
        <v>6.86</v>
      </c>
      <c r="C66" s="36">
        <v>4.92</v>
      </c>
      <c r="D66" s="36">
        <v>3.64</v>
      </c>
      <c r="E66" s="36">
        <v>5.84</v>
      </c>
      <c r="F66" s="36">
        <v>4.35</v>
      </c>
    </row>
    <row r="67" ht="15.75" customHeight="1">
      <c r="B67" s="36">
        <v>9.02</v>
      </c>
      <c r="C67" s="36">
        <v>4.92</v>
      </c>
      <c r="D67" s="36">
        <v>2.76</v>
      </c>
      <c r="E67" s="36">
        <v>0.9</v>
      </c>
      <c r="F67" s="36">
        <v>9.02</v>
      </c>
    </row>
    <row r="68" ht="15.75" customHeight="1">
      <c r="B68" s="36">
        <v>9.01</v>
      </c>
      <c r="C68" s="36">
        <v>1.05</v>
      </c>
      <c r="D68" s="36">
        <v>4.3</v>
      </c>
      <c r="E68" s="36">
        <v>3.0</v>
      </c>
      <c r="F68" s="36">
        <v>1.46</v>
      </c>
    </row>
    <row r="69" ht="15.75" customHeight="1">
      <c r="B69" s="36">
        <v>3.57</v>
      </c>
      <c r="C69" s="36">
        <v>7.21</v>
      </c>
      <c r="D69" s="36">
        <v>6.86</v>
      </c>
      <c r="E69" s="36">
        <v>3.18</v>
      </c>
      <c r="F69" s="36">
        <v>3.5</v>
      </c>
    </row>
    <row r="70" ht="15.75" customHeight="1">
      <c r="B70" s="36">
        <v>2.85</v>
      </c>
      <c r="C70" s="36">
        <v>9.02</v>
      </c>
      <c r="D70" s="36">
        <v>1.5</v>
      </c>
      <c r="E70" s="36">
        <v>0.62</v>
      </c>
      <c r="F70" s="36">
        <v>0.94</v>
      </c>
    </row>
    <row r="71" ht="15.75" customHeight="1">
      <c r="B71" s="36">
        <v>3.23</v>
      </c>
      <c r="C71" s="36">
        <v>9.04</v>
      </c>
      <c r="D71" s="36">
        <v>3.8</v>
      </c>
      <c r="E71" s="36">
        <v>1.35</v>
      </c>
      <c r="F71" s="36">
        <v>9.03</v>
      </c>
    </row>
    <row r="72" ht="15.75" customHeight="1">
      <c r="B72" s="36">
        <v>3.44</v>
      </c>
      <c r="C72" s="36">
        <v>0.8</v>
      </c>
      <c r="D72" s="36">
        <v>2.85</v>
      </c>
      <c r="E72" s="36">
        <v>1.57</v>
      </c>
      <c r="F72" s="36">
        <v>1.43</v>
      </c>
    </row>
    <row r="73" ht="15.75" customHeight="1">
      <c r="B73" s="36">
        <v>4.22</v>
      </c>
      <c r="C73" s="36">
        <v>5.1</v>
      </c>
      <c r="D73" s="36">
        <v>6.38</v>
      </c>
      <c r="E73" s="36">
        <v>5.34</v>
      </c>
      <c r="F73" s="36">
        <v>1.7</v>
      </c>
    </row>
    <row r="74" ht="15.75" customHeight="1">
      <c r="B74" s="36">
        <v>9.01</v>
      </c>
      <c r="C74" s="36">
        <v>5.17</v>
      </c>
      <c r="D74" s="36">
        <v>5.33</v>
      </c>
      <c r="E74" s="36">
        <v>4.04</v>
      </c>
      <c r="F74" s="36">
        <v>9.02</v>
      </c>
    </row>
    <row r="75" ht="15.75" customHeight="1">
      <c r="B75" s="36">
        <v>4.57</v>
      </c>
      <c r="C75" s="36">
        <v>6.87</v>
      </c>
      <c r="D75" s="36">
        <v>3.82</v>
      </c>
      <c r="E75" s="36">
        <v>3.01</v>
      </c>
      <c r="F75" s="36">
        <v>6.7</v>
      </c>
    </row>
    <row r="76" ht="15.75" customHeight="1">
      <c r="B76" s="36">
        <v>9.04</v>
      </c>
      <c r="C76" s="36">
        <v>6.16</v>
      </c>
      <c r="D76" s="36">
        <v>7.17</v>
      </c>
      <c r="E76" s="36">
        <v>6.89</v>
      </c>
      <c r="F76" s="36">
        <v>1.75</v>
      </c>
    </row>
    <row r="77" ht="15.75" customHeight="1">
      <c r="B77" s="36">
        <v>6.76</v>
      </c>
      <c r="C77" s="36">
        <v>9.02</v>
      </c>
      <c r="D77" s="36">
        <v>7.31</v>
      </c>
      <c r="E77" s="36">
        <v>1.12</v>
      </c>
      <c r="F77" s="36">
        <v>7.45</v>
      </c>
    </row>
    <row r="78" ht="15.75" customHeight="1">
      <c r="B78" s="36">
        <v>2.8</v>
      </c>
      <c r="C78" s="36">
        <v>0.23</v>
      </c>
      <c r="D78" s="36">
        <v>6.38</v>
      </c>
      <c r="E78" s="36">
        <v>0.74</v>
      </c>
      <c r="F78" s="36">
        <v>2.88</v>
      </c>
    </row>
    <row r="79" ht="15.75" customHeight="1">
      <c r="B79" s="36">
        <v>2.96</v>
      </c>
      <c r="C79" s="36">
        <v>9.02</v>
      </c>
      <c r="D79" s="36">
        <v>5.7</v>
      </c>
      <c r="E79" s="36">
        <v>2.91</v>
      </c>
      <c r="F79" s="36">
        <v>2.67</v>
      </c>
    </row>
    <row r="80" ht="15.75" customHeight="1">
      <c r="B80" s="36">
        <v>4.18</v>
      </c>
      <c r="C80" s="36">
        <v>0.08</v>
      </c>
      <c r="D80" s="36">
        <v>6.18</v>
      </c>
      <c r="E80" s="36">
        <v>0.97</v>
      </c>
      <c r="F80" s="36">
        <v>1.0</v>
      </c>
    </row>
    <row r="81" ht="15.75" customHeight="1">
      <c r="B81" s="36">
        <v>9.03</v>
      </c>
      <c r="C81" s="36">
        <v>5.9</v>
      </c>
      <c r="D81" s="36">
        <v>6.67</v>
      </c>
      <c r="E81" s="36">
        <v>1.74</v>
      </c>
      <c r="F81" s="36">
        <v>2.5</v>
      </c>
    </row>
    <row r="82" ht="15.75" customHeight="1">
      <c r="B82" s="36">
        <v>5.35</v>
      </c>
      <c r="C82" s="36">
        <v>9.01</v>
      </c>
      <c r="D82" s="36">
        <v>5.84</v>
      </c>
      <c r="E82" s="36">
        <v>1.44</v>
      </c>
      <c r="F82" s="36">
        <v>1.44</v>
      </c>
    </row>
    <row r="83" ht="15.75" customHeight="1">
      <c r="B83" s="36">
        <v>9.02</v>
      </c>
      <c r="C83" s="36">
        <v>4.73</v>
      </c>
      <c r="D83" s="36">
        <v>8.28</v>
      </c>
      <c r="E83" s="36">
        <v>0.87</v>
      </c>
      <c r="F83" s="36">
        <v>2.42</v>
      </c>
    </row>
    <row r="84" ht="15.75" customHeight="1">
      <c r="B84" s="36">
        <v>1.72</v>
      </c>
      <c r="C84" s="36">
        <v>9.01</v>
      </c>
      <c r="D84" s="36">
        <v>6.02</v>
      </c>
      <c r="E84" s="36">
        <v>0.89</v>
      </c>
      <c r="F84" s="36">
        <v>7.58</v>
      </c>
    </row>
    <row r="85" ht="15.75" customHeight="1">
      <c r="B85" s="36">
        <v>3.67</v>
      </c>
      <c r="C85" s="36">
        <v>5.84</v>
      </c>
      <c r="D85" s="36">
        <v>3.88</v>
      </c>
      <c r="E85" s="36">
        <v>1.32</v>
      </c>
      <c r="F85" s="36">
        <v>1.67</v>
      </c>
    </row>
    <row r="86" ht="15.75" customHeight="1">
      <c r="B86" s="36">
        <v>2.63</v>
      </c>
      <c r="C86" s="36">
        <v>9.04</v>
      </c>
      <c r="D86" s="36">
        <v>5.77</v>
      </c>
      <c r="E86" s="36">
        <v>3.33</v>
      </c>
      <c r="F86" s="36">
        <v>5.75</v>
      </c>
    </row>
    <row r="87" ht="15.75" customHeight="1">
      <c r="B87" s="36">
        <v>9.02</v>
      </c>
      <c r="C87" s="36">
        <v>3.14</v>
      </c>
      <c r="D87" s="36">
        <v>5.38</v>
      </c>
      <c r="E87" s="36">
        <v>0.66</v>
      </c>
      <c r="F87" s="36">
        <v>7.85</v>
      </c>
    </row>
    <row r="88" ht="15.75" customHeight="1">
      <c r="B88" s="36">
        <v>9.02</v>
      </c>
      <c r="C88" s="36">
        <v>5.62</v>
      </c>
      <c r="D88" s="36">
        <v>2.78</v>
      </c>
      <c r="E88" s="36">
        <v>2.12</v>
      </c>
      <c r="F88" s="36">
        <v>2.86</v>
      </c>
    </row>
    <row r="89" ht="15.75" customHeight="1">
      <c r="B89" s="36">
        <v>9.03</v>
      </c>
      <c r="C89" s="36">
        <v>6.05</v>
      </c>
      <c r="D89" s="36">
        <v>4.05</v>
      </c>
      <c r="E89" s="36">
        <v>5.99</v>
      </c>
      <c r="F89" s="36">
        <v>3.14</v>
      </c>
    </row>
    <row r="90" ht="15.75" customHeight="1">
      <c r="B90" s="36">
        <v>3.08</v>
      </c>
      <c r="C90" s="36">
        <v>4.82</v>
      </c>
      <c r="D90" s="36">
        <v>6.03</v>
      </c>
      <c r="E90" s="36">
        <v>0.6</v>
      </c>
      <c r="F90" s="36">
        <v>8.05</v>
      </c>
    </row>
    <row r="91" ht="15.75" customHeight="1">
      <c r="B91" s="36">
        <v>5.85</v>
      </c>
      <c r="C91" s="36">
        <v>8.85</v>
      </c>
      <c r="D91" s="36">
        <v>6.65</v>
      </c>
      <c r="E91" s="36">
        <v>3.64</v>
      </c>
      <c r="F91" s="36">
        <v>7.31</v>
      </c>
    </row>
    <row r="92" ht="15.75" customHeight="1">
      <c r="B92" s="36">
        <v>4.0</v>
      </c>
      <c r="C92" s="36">
        <v>-0.27</v>
      </c>
      <c r="D92" s="36">
        <v>5.95</v>
      </c>
      <c r="E92" s="36">
        <v>1.59</v>
      </c>
      <c r="F92" s="36">
        <v>5.59</v>
      </c>
    </row>
    <row r="93" ht="15.75" customHeight="1">
      <c r="B93" s="36">
        <v>9.01</v>
      </c>
      <c r="C93" s="36">
        <v>6.45</v>
      </c>
      <c r="D93" s="36">
        <v>3.27</v>
      </c>
      <c r="E93" s="36">
        <v>3.14</v>
      </c>
      <c r="F93" s="36">
        <v>9.02</v>
      </c>
    </row>
    <row r="94" ht="15.75" customHeight="1">
      <c r="B94" s="36">
        <v>5.82</v>
      </c>
      <c r="C94" s="36">
        <v>3.64</v>
      </c>
      <c r="D94" s="36">
        <v>3.55</v>
      </c>
      <c r="E94" s="36">
        <v>2.15</v>
      </c>
      <c r="F94" s="36">
        <v>4.96</v>
      </c>
    </row>
    <row r="95" ht="15.75" customHeight="1">
      <c r="B95" s="36">
        <v>6.33</v>
      </c>
      <c r="C95" s="36">
        <v>8.45</v>
      </c>
      <c r="D95" s="36">
        <v>2.3</v>
      </c>
      <c r="E95" s="36">
        <v>2.2</v>
      </c>
      <c r="F95" s="36">
        <v>3.6</v>
      </c>
    </row>
    <row r="96" ht="15.75" customHeight="1">
      <c r="B96" s="36">
        <v>4.04</v>
      </c>
      <c r="C96" s="36">
        <v>4.2</v>
      </c>
      <c r="D96" s="36">
        <v>5.71</v>
      </c>
      <c r="E96" s="36">
        <v>3.08</v>
      </c>
      <c r="F96" s="36">
        <v>9.0</v>
      </c>
    </row>
    <row r="97" ht="15.75" customHeight="1">
      <c r="B97" s="36">
        <v>7.32</v>
      </c>
      <c r="C97" s="36">
        <v>4.94</v>
      </c>
      <c r="D97" s="36">
        <v>3.86</v>
      </c>
      <c r="E97" s="36">
        <v>3.85</v>
      </c>
      <c r="F97" s="36">
        <v>3.01</v>
      </c>
    </row>
    <row r="98" ht="15.75" customHeight="1">
      <c r="B98" s="36">
        <v>8.23</v>
      </c>
      <c r="C98" s="36">
        <v>5.24</v>
      </c>
      <c r="D98" s="36">
        <v>5.93</v>
      </c>
      <c r="E98" s="36">
        <v>2.5</v>
      </c>
      <c r="F98" s="36">
        <v>3.3</v>
      </c>
    </row>
    <row r="99" ht="15.75" customHeight="1">
      <c r="B99" s="36">
        <v>2.69</v>
      </c>
      <c r="C99" s="36">
        <v>3.83</v>
      </c>
      <c r="D99" s="36">
        <v>5.15</v>
      </c>
      <c r="E99" s="36">
        <v>4.12</v>
      </c>
      <c r="F99" s="36">
        <v>1.15</v>
      </c>
    </row>
    <row r="100" ht="15.75" customHeight="1">
      <c r="B100" s="36">
        <v>9.01</v>
      </c>
      <c r="C100" s="36">
        <v>9.02</v>
      </c>
      <c r="D100" s="36">
        <v>5.13</v>
      </c>
      <c r="E100" s="36">
        <v>0.96</v>
      </c>
      <c r="F100" s="36">
        <v>8.3</v>
      </c>
    </row>
    <row r="101" ht="15.75" customHeight="1">
      <c r="B101" s="36">
        <v>9.02</v>
      </c>
      <c r="C101" s="36">
        <v>3.61</v>
      </c>
      <c r="D101" s="36">
        <v>4.22</v>
      </c>
      <c r="E101" s="36">
        <v>1.78</v>
      </c>
      <c r="F101" s="36">
        <v>4.13</v>
      </c>
    </row>
    <row r="102" ht="15.75" customHeight="1">
      <c r="B102" s="36">
        <v>7.25</v>
      </c>
      <c r="C102" s="36">
        <v>5.31</v>
      </c>
      <c r="D102" s="36">
        <v>3.61</v>
      </c>
      <c r="E102" s="36">
        <v>1.55</v>
      </c>
      <c r="F102" s="36">
        <v>9.01</v>
      </c>
    </row>
    <row r="103" ht="15.75" customHeight="1">
      <c r="B103" s="37">
        <v>9.02</v>
      </c>
      <c r="C103" s="37">
        <v>4.5</v>
      </c>
      <c r="D103" s="37">
        <v>5.91</v>
      </c>
      <c r="E103" s="37">
        <v>2.35</v>
      </c>
      <c r="F103" s="37">
        <v>1.83</v>
      </c>
    </row>
    <row r="104" ht="15.75" customHeight="1"/>
    <row r="105" ht="15.75" customHeight="1"/>
    <row r="106" ht="15.75" customHeight="1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 ht="15.75" customHeight="1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 ht="15.75" customHeight="1">
      <c r="B108" s="40" t="s">
        <v>8</v>
      </c>
      <c r="C108" s="41">
        <v>6.5993</v>
      </c>
      <c r="D108" s="41">
        <v>2.6392</v>
      </c>
      <c r="E108" s="41">
        <v>7.355</v>
      </c>
      <c r="F108" s="41">
        <v>6.082</v>
      </c>
      <c r="G108" s="41">
        <v>7.1166</v>
      </c>
      <c r="H108" s="42">
        <v>0.61</v>
      </c>
      <c r="I108" s="42">
        <v>9.04</v>
      </c>
      <c r="J108" s="43">
        <v>40.0</v>
      </c>
    </row>
    <row r="109" ht="15.75" customHeight="1">
      <c r="B109" s="40" t="s">
        <v>7</v>
      </c>
      <c r="C109" s="41">
        <v>5.1815</v>
      </c>
      <c r="D109" s="41">
        <v>2.5871</v>
      </c>
      <c r="E109" s="41">
        <v>4.98</v>
      </c>
      <c r="F109" s="41">
        <v>4.6744</v>
      </c>
      <c r="G109" s="41">
        <v>5.6886</v>
      </c>
      <c r="H109" s="42">
        <v>-0.27</v>
      </c>
      <c r="I109" s="42">
        <v>9.04</v>
      </c>
      <c r="J109" s="43">
        <v>49.9</v>
      </c>
    </row>
    <row r="110" ht="15.75" customHeight="1">
      <c r="B110" s="40" t="s">
        <v>12</v>
      </c>
      <c r="C110" s="41">
        <v>5.0367</v>
      </c>
      <c r="D110" s="41">
        <v>1.6599</v>
      </c>
      <c r="E110" s="41">
        <v>5.31</v>
      </c>
      <c r="F110" s="41">
        <v>4.7114</v>
      </c>
      <c r="G110" s="41">
        <v>5.362</v>
      </c>
      <c r="H110" s="42">
        <v>1.08</v>
      </c>
      <c r="I110" s="42">
        <v>9.02</v>
      </c>
      <c r="J110" s="43">
        <v>33.0</v>
      </c>
    </row>
    <row r="111" ht="15.75" customHeight="1">
      <c r="B111" s="40" t="s">
        <v>9</v>
      </c>
      <c r="C111" s="41">
        <v>2.2839</v>
      </c>
      <c r="D111" s="41">
        <v>1.4798</v>
      </c>
      <c r="E111" s="41">
        <v>2.035</v>
      </c>
      <c r="F111" s="41">
        <v>1.9939</v>
      </c>
      <c r="G111" s="41">
        <v>2.5739</v>
      </c>
      <c r="H111" s="42">
        <v>-0.21</v>
      </c>
      <c r="I111" s="42">
        <v>7.99</v>
      </c>
      <c r="J111" s="43">
        <v>64.8</v>
      </c>
    </row>
    <row r="112" ht="15.75" customHeight="1">
      <c r="B112" s="44" t="s">
        <v>10</v>
      </c>
      <c r="C112" s="45">
        <v>4.6849</v>
      </c>
      <c r="D112" s="45">
        <v>2.9548</v>
      </c>
      <c r="E112" s="45">
        <v>4.08</v>
      </c>
      <c r="F112" s="45">
        <v>4.1058</v>
      </c>
      <c r="G112" s="45">
        <v>5.264</v>
      </c>
      <c r="H112" s="46">
        <v>-0.2</v>
      </c>
      <c r="I112" s="47">
        <v>9.04</v>
      </c>
      <c r="J112" s="48">
        <v>63.1</v>
      </c>
    </row>
    <row r="113" ht="15.75" customHeight="1">
      <c r="B113" s="40"/>
      <c r="C113" s="41"/>
      <c r="D113" s="41"/>
      <c r="E113" s="41"/>
      <c r="F113" s="41"/>
      <c r="G113" s="41"/>
      <c r="H113" s="42"/>
      <c r="I113" s="42"/>
      <c r="J113" s="43"/>
    </row>
    <row r="114" ht="15.75" customHeight="1">
      <c r="B114" s="49"/>
      <c r="C114" s="49"/>
      <c r="D114" s="49"/>
      <c r="E114" s="49"/>
      <c r="F114" s="49"/>
      <c r="G114" s="49"/>
      <c r="H114" s="49"/>
      <c r="I114" s="49"/>
      <c r="J114" s="49"/>
    </row>
    <row r="115" ht="15.75" customHeight="1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 ht="15.75" customHeight="1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 ht="15.75" customHeight="1">
      <c r="B117" s="45">
        <v>22.423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 ht="15.75" customHeight="1">
      <c r="B118" s="41"/>
      <c r="C118" s="42"/>
      <c r="D118" s="52"/>
      <c r="E118" s="49"/>
      <c r="F118" s="49"/>
      <c r="G118" s="49"/>
      <c r="H118" s="49"/>
      <c r="I118" s="49"/>
      <c r="J118" s="49"/>
    </row>
    <row r="119" ht="15.75" customHeight="1">
      <c r="B119" s="49"/>
      <c r="C119" s="49"/>
      <c r="D119" s="49"/>
      <c r="E119" s="49"/>
      <c r="F119" s="49"/>
      <c r="G119" s="49"/>
      <c r="H119" s="49"/>
      <c r="I119" s="49"/>
      <c r="J119" s="49"/>
    </row>
    <row r="120" ht="15.75" customHeight="1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 ht="15.75" customHeight="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 ht="15.75" customHeight="1">
      <c r="B122" s="47">
        <v>72.5881</v>
      </c>
      <c r="C122" s="47">
        <v>4.0</v>
      </c>
      <c r="D122" s="47">
        <v>10.0</v>
      </c>
      <c r="E122" s="50" t="s">
        <v>35</v>
      </c>
      <c r="F122" s="51" t="s">
        <v>41</v>
      </c>
      <c r="G122" s="49"/>
      <c r="H122" s="49"/>
      <c r="I122" s="49"/>
      <c r="J122" s="49"/>
    </row>
    <row r="123" ht="15.75" customHeight="1">
      <c r="B123" s="42"/>
      <c r="C123" s="42"/>
      <c r="D123" s="42"/>
      <c r="E123" s="42"/>
      <c r="F123" s="52"/>
      <c r="G123" s="49"/>
      <c r="H123" s="49"/>
      <c r="I123" s="49"/>
      <c r="J123" s="49"/>
    </row>
    <row r="124" ht="15.75" customHeight="1">
      <c r="B124" s="49"/>
      <c r="C124" s="49"/>
      <c r="D124" s="49"/>
      <c r="E124" s="49"/>
      <c r="F124" s="49"/>
      <c r="G124" s="49"/>
      <c r="H124" s="49"/>
      <c r="I124" s="49"/>
      <c r="J124" s="49"/>
    </row>
    <row r="125" ht="15.75" customHeight="1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 ht="15.75" customHeight="1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 ht="15.75" customHeight="1">
      <c r="B127" s="40" t="s">
        <v>8</v>
      </c>
      <c r="C127" s="40" t="s">
        <v>7</v>
      </c>
      <c r="D127" s="41">
        <v>1.4178</v>
      </c>
      <c r="E127" s="41">
        <v>0.3696</v>
      </c>
      <c r="F127" s="41">
        <v>0.689</v>
      </c>
      <c r="G127" s="41">
        <v>2.1466</v>
      </c>
      <c r="H127" s="53" t="s">
        <v>35</v>
      </c>
      <c r="I127" s="52" t="s">
        <v>48</v>
      </c>
      <c r="J127" s="49"/>
    </row>
    <row r="128" ht="15.75" customHeight="1">
      <c r="B128" s="40" t="s">
        <v>8</v>
      </c>
      <c r="C128" s="40" t="s">
        <v>12</v>
      </c>
      <c r="D128" s="41">
        <v>1.5626</v>
      </c>
      <c r="E128" s="41">
        <v>0.3118</v>
      </c>
      <c r="F128" s="41">
        <v>0.9471</v>
      </c>
      <c r="G128" s="41">
        <v>2.1781</v>
      </c>
      <c r="H128" s="53" t="s">
        <v>35</v>
      </c>
      <c r="I128" s="52" t="s">
        <v>48</v>
      </c>
      <c r="J128" s="49"/>
    </row>
    <row r="129" ht="15.75" customHeight="1">
      <c r="B129" s="40" t="s">
        <v>8</v>
      </c>
      <c r="C129" s="40" t="s">
        <v>9</v>
      </c>
      <c r="D129" s="41">
        <v>4.3154</v>
      </c>
      <c r="E129" s="41">
        <v>0.3026</v>
      </c>
      <c r="F129" s="41">
        <v>3.7177</v>
      </c>
      <c r="G129" s="41">
        <v>4.9131</v>
      </c>
      <c r="H129" s="53" t="s">
        <v>35</v>
      </c>
      <c r="I129" s="52" t="s">
        <v>48</v>
      </c>
      <c r="J129" s="49"/>
    </row>
    <row r="130" ht="15.75" customHeight="1">
      <c r="B130" s="40" t="s">
        <v>8</v>
      </c>
      <c r="C130" s="40" t="s">
        <v>10</v>
      </c>
      <c r="D130" s="41">
        <v>1.9144</v>
      </c>
      <c r="E130" s="41">
        <v>0.3962</v>
      </c>
      <c r="F130" s="41">
        <v>1.1331</v>
      </c>
      <c r="G130" s="41">
        <v>2.6957</v>
      </c>
      <c r="H130" s="53" t="s">
        <v>35</v>
      </c>
      <c r="I130" s="52" t="s">
        <v>48</v>
      </c>
      <c r="J130" s="49"/>
    </row>
    <row r="131" ht="15.75" customHeight="1">
      <c r="B131" s="40" t="s">
        <v>7</v>
      </c>
      <c r="C131" s="40" t="s">
        <v>12</v>
      </c>
      <c r="D131" s="41">
        <v>0.1448</v>
      </c>
      <c r="E131" s="41">
        <v>0.3074</v>
      </c>
      <c r="F131" s="41">
        <v>-0.462</v>
      </c>
      <c r="G131" s="41">
        <v>0.7516</v>
      </c>
      <c r="H131" s="53">
        <v>0.6382</v>
      </c>
      <c r="I131" s="52" t="s">
        <v>49</v>
      </c>
      <c r="J131" s="49"/>
    </row>
    <row r="132" ht="15.75" customHeight="1">
      <c r="B132" s="40" t="s">
        <v>7</v>
      </c>
      <c r="C132" s="40" t="s">
        <v>9</v>
      </c>
      <c r="D132" s="41">
        <v>2.8976</v>
      </c>
      <c r="E132" s="41">
        <v>0.298</v>
      </c>
      <c r="F132" s="41">
        <v>2.3089</v>
      </c>
      <c r="G132" s="41">
        <v>3.4863</v>
      </c>
      <c r="H132" s="53" t="s">
        <v>35</v>
      </c>
      <c r="I132" s="52" t="s">
        <v>48</v>
      </c>
      <c r="J132" s="49"/>
    </row>
    <row r="133" ht="15.75" customHeight="1">
      <c r="B133" s="40" t="s">
        <v>7</v>
      </c>
      <c r="C133" s="40" t="s">
        <v>10</v>
      </c>
      <c r="D133" s="41">
        <v>0.4966</v>
      </c>
      <c r="E133" s="41">
        <v>0.3927</v>
      </c>
      <c r="F133" s="41">
        <v>-0.278</v>
      </c>
      <c r="G133" s="41">
        <v>1.2712</v>
      </c>
      <c r="H133" s="53">
        <v>0.2076</v>
      </c>
      <c r="I133" s="52" t="s">
        <v>49</v>
      </c>
      <c r="J133" s="49"/>
    </row>
    <row r="134" ht="15.75" customHeight="1">
      <c r="B134" s="40" t="s">
        <v>12</v>
      </c>
      <c r="C134" s="40" t="s">
        <v>9</v>
      </c>
      <c r="D134" s="41">
        <v>2.7528</v>
      </c>
      <c r="E134" s="41">
        <v>0.2224</v>
      </c>
      <c r="F134" s="41">
        <v>2.3142</v>
      </c>
      <c r="G134" s="41">
        <v>3.1914</v>
      </c>
      <c r="H134" s="53" t="s">
        <v>35</v>
      </c>
      <c r="I134" s="52" t="s">
        <v>48</v>
      </c>
      <c r="J134" s="49"/>
    </row>
    <row r="135" ht="15.75" customHeight="1">
      <c r="B135" s="40" t="s">
        <v>12</v>
      </c>
      <c r="C135" s="40" t="s">
        <v>10</v>
      </c>
      <c r="D135" s="41">
        <v>0.3518</v>
      </c>
      <c r="E135" s="41">
        <v>0.3389</v>
      </c>
      <c r="F135" s="41">
        <v>-0.3176</v>
      </c>
      <c r="G135" s="41">
        <v>1.0212</v>
      </c>
      <c r="H135" s="53">
        <v>0.3009</v>
      </c>
      <c r="I135" s="52" t="s">
        <v>49</v>
      </c>
      <c r="J135" s="49"/>
    </row>
    <row r="136" ht="15.75" customHeight="1">
      <c r="B136" s="44" t="s">
        <v>9</v>
      </c>
      <c r="C136" s="44" t="s">
        <v>10</v>
      </c>
      <c r="D136" s="45">
        <v>-2.401</v>
      </c>
      <c r="E136" s="45">
        <v>0.3305</v>
      </c>
      <c r="F136" s="45">
        <v>-3.0541</v>
      </c>
      <c r="G136" s="45">
        <v>-1.7479</v>
      </c>
      <c r="H136" s="54" t="s">
        <v>35</v>
      </c>
      <c r="I136" s="51" t="s">
        <v>48</v>
      </c>
      <c r="J136" s="49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5">
    <mergeCell ref="B2:F2"/>
    <mergeCell ref="B106:J106"/>
    <mergeCell ref="B115:D115"/>
    <mergeCell ref="B120:F120"/>
    <mergeCell ref="B125:I12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75"/>
    <col customWidth="1" min="3" max="3" width="11.88"/>
    <col customWidth="1" min="4" max="4" width="15.88"/>
    <col customWidth="1" min="5" max="5" width="11.88"/>
    <col customWidth="1" min="6" max="6" width="13.88"/>
    <col customWidth="1" min="7" max="7" width="15.13"/>
    <col customWidth="1" min="8" max="10" width="11.88"/>
    <col customWidth="1" min="11" max="26" width="8.63"/>
  </cols>
  <sheetData>
    <row r="2">
      <c r="B2" s="33" t="s">
        <v>54</v>
      </c>
      <c r="C2" s="34"/>
      <c r="D2" s="34"/>
      <c r="E2" s="34"/>
      <c r="F2" s="34"/>
    </row>
    <row r="3">
      <c r="B3" s="35" t="s">
        <v>8</v>
      </c>
      <c r="C3" s="35" t="s">
        <v>7</v>
      </c>
      <c r="D3" s="35" t="s">
        <v>12</v>
      </c>
      <c r="E3" s="35" t="s">
        <v>9</v>
      </c>
      <c r="F3" s="35" t="s">
        <v>11</v>
      </c>
    </row>
    <row r="4">
      <c r="B4" s="36">
        <v>9.02</v>
      </c>
      <c r="C4" s="36">
        <v>4.81</v>
      </c>
      <c r="D4" s="36">
        <v>8.28</v>
      </c>
      <c r="E4" s="36">
        <v>4.28</v>
      </c>
      <c r="F4" s="36">
        <v>9.01</v>
      </c>
    </row>
    <row r="5">
      <c r="B5" s="36">
        <v>9.03</v>
      </c>
      <c r="C5" s="36">
        <v>8.9</v>
      </c>
      <c r="D5" s="36">
        <v>9.02</v>
      </c>
      <c r="E5" s="36">
        <v>2.68</v>
      </c>
      <c r="F5" s="36">
        <v>9.0</v>
      </c>
    </row>
    <row r="6">
      <c r="B6" s="36">
        <v>8.31</v>
      </c>
      <c r="C6" s="36">
        <v>7.26</v>
      </c>
      <c r="D6" s="36">
        <v>6.1</v>
      </c>
      <c r="E6" s="36">
        <v>2.57</v>
      </c>
      <c r="F6" s="36">
        <v>6.57</v>
      </c>
    </row>
    <row r="7">
      <c r="B7" s="36">
        <v>6.31</v>
      </c>
      <c r="C7" s="36">
        <v>5.23</v>
      </c>
      <c r="D7" s="36">
        <v>9.0</v>
      </c>
      <c r="E7" s="36">
        <v>1.48</v>
      </c>
      <c r="F7" s="36">
        <v>8.64</v>
      </c>
    </row>
    <row r="8">
      <c r="B8" s="36">
        <v>9.02</v>
      </c>
      <c r="C8" s="36">
        <v>9.02</v>
      </c>
      <c r="D8" s="36">
        <v>4.25</v>
      </c>
      <c r="E8" s="36">
        <v>1.75</v>
      </c>
      <c r="F8" s="36">
        <v>7.68</v>
      </c>
    </row>
    <row r="9">
      <c r="B9" s="36">
        <v>1.85</v>
      </c>
      <c r="C9" s="36">
        <v>7.82</v>
      </c>
      <c r="D9" s="36">
        <v>6.38</v>
      </c>
      <c r="E9" s="36">
        <v>3.43</v>
      </c>
      <c r="F9" s="36">
        <v>8.88</v>
      </c>
    </row>
    <row r="10">
      <c r="B10" s="36">
        <v>7.12</v>
      </c>
      <c r="C10" s="36">
        <v>6.25</v>
      </c>
      <c r="D10" s="36">
        <v>9.03</v>
      </c>
      <c r="E10" s="36">
        <v>2.95</v>
      </c>
      <c r="F10" s="36">
        <v>7.22</v>
      </c>
    </row>
    <row r="11">
      <c r="B11" s="36">
        <v>9.03</v>
      </c>
      <c r="C11" s="36">
        <v>6.06</v>
      </c>
      <c r="D11" s="36">
        <v>6.11</v>
      </c>
      <c r="E11" s="36">
        <v>2.14</v>
      </c>
      <c r="F11" s="36">
        <v>9.01</v>
      </c>
    </row>
    <row r="12">
      <c r="B12" s="36">
        <v>9.03</v>
      </c>
      <c r="C12" s="36">
        <v>5.44</v>
      </c>
      <c r="D12" s="36">
        <v>6.72</v>
      </c>
      <c r="E12" s="36">
        <v>2.84</v>
      </c>
      <c r="F12" s="36">
        <v>9.01</v>
      </c>
    </row>
    <row r="13">
      <c r="B13" s="36">
        <v>9.03</v>
      </c>
      <c r="C13" s="36">
        <v>4.36</v>
      </c>
      <c r="D13" s="36">
        <v>4.87</v>
      </c>
      <c r="E13" s="36">
        <v>2.24</v>
      </c>
      <c r="F13" s="36">
        <v>9.02</v>
      </c>
    </row>
    <row r="14">
      <c r="B14" s="36">
        <v>6.88</v>
      </c>
      <c r="C14" s="36">
        <v>8.87</v>
      </c>
      <c r="D14" s="36">
        <v>4.4</v>
      </c>
      <c r="E14" s="36">
        <v>1.25</v>
      </c>
      <c r="F14" s="36">
        <v>9.01</v>
      </c>
    </row>
    <row r="15">
      <c r="B15" s="36">
        <v>9.0</v>
      </c>
      <c r="C15" s="36">
        <v>9.04</v>
      </c>
      <c r="D15" s="36">
        <v>7.91</v>
      </c>
      <c r="E15" s="36">
        <v>1.3</v>
      </c>
      <c r="F15" s="36">
        <v>7.36</v>
      </c>
    </row>
    <row r="16">
      <c r="B16" s="36">
        <v>9.03</v>
      </c>
      <c r="C16" s="36">
        <v>7.96</v>
      </c>
      <c r="D16" s="36">
        <v>4.84</v>
      </c>
      <c r="E16" s="36">
        <v>3.86</v>
      </c>
      <c r="F16" s="36">
        <v>8.36</v>
      </c>
    </row>
    <row r="17">
      <c r="B17" s="36">
        <v>8.34</v>
      </c>
      <c r="C17" s="36">
        <v>4.6</v>
      </c>
      <c r="D17" s="36">
        <v>6.56</v>
      </c>
      <c r="E17" s="36">
        <v>4.09</v>
      </c>
      <c r="F17" s="36">
        <v>9.03</v>
      </c>
    </row>
    <row r="18">
      <c r="B18" s="36">
        <v>9.01</v>
      </c>
      <c r="C18" s="36">
        <v>5.44</v>
      </c>
      <c r="D18" s="36">
        <v>5.93</v>
      </c>
      <c r="E18" s="36">
        <v>3.15</v>
      </c>
      <c r="F18" s="36">
        <v>9.02</v>
      </c>
    </row>
    <row r="19">
      <c r="B19" s="36">
        <v>8.57</v>
      </c>
      <c r="C19" s="36">
        <v>7.49</v>
      </c>
      <c r="D19" s="36">
        <v>7.06</v>
      </c>
      <c r="E19" s="36">
        <v>1.84</v>
      </c>
      <c r="F19" s="36">
        <v>9.02</v>
      </c>
    </row>
    <row r="20">
      <c r="B20" s="36">
        <v>8.55</v>
      </c>
      <c r="C20" s="36">
        <v>5.18</v>
      </c>
      <c r="D20" s="36">
        <v>1.35</v>
      </c>
      <c r="E20" s="36">
        <v>5.72</v>
      </c>
      <c r="F20" s="36">
        <v>9.0</v>
      </c>
    </row>
    <row r="21" ht="15.75" customHeight="1">
      <c r="B21" s="36">
        <v>9.01</v>
      </c>
      <c r="C21" s="36">
        <v>8.99</v>
      </c>
      <c r="D21" s="36">
        <v>5.62</v>
      </c>
      <c r="E21" s="36">
        <v>2.19</v>
      </c>
      <c r="F21" s="36">
        <v>9.02</v>
      </c>
    </row>
    <row r="22" ht="15.75" customHeight="1">
      <c r="B22" s="36">
        <v>9.03</v>
      </c>
      <c r="C22" s="36">
        <v>8.34</v>
      </c>
      <c r="D22" s="36">
        <v>8.13</v>
      </c>
      <c r="E22" s="36">
        <v>3.83</v>
      </c>
      <c r="F22" s="36">
        <v>9.0</v>
      </c>
    </row>
    <row r="23" ht="15.75" customHeight="1">
      <c r="B23" s="36">
        <v>9.0</v>
      </c>
      <c r="C23" s="36">
        <v>5.81</v>
      </c>
      <c r="D23" s="36">
        <v>6.55</v>
      </c>
      <c r="E23" s="36">
        <v>3.0</v>
      </c>
      <c r="F23" s="36">
        <v>6.41</v>
      </c>
    </row>
    <row r="24" ht="15.75" customHeight="1">
      <c r="B24" s="36">
        <v>8.2</v>
      </c>
      <c r="C24" s="36">
        <v>8.07</v>
      </c>
      <c r="D24" s="36">
        <v>7.7</v>
      </c>
      <c r="E24" s="36">
        <v>3.61</v>
      </c>
      <c r="F24" s="36">
        <v>9.02</v>
      </c>
    </row>
    <row r="25" ht="15.75" customHeight="1">
      <c r="B25" s="36">
        <v>9.01</v>
      </c>
      <c r="C25" s="36">
        <v>6.22</v>
      </c>
      <c r="D25" s="36">
        <v>6.43</v>
      </c>
      <c r="E25" s="36">
        <v>1.08</v>
      </c>
      <c r="F25" s="36">
        <v>9.02</v>
      </c>
    </row>
    <row r="26" ht="15.75" customHeight="1">
      <c r="B26" s="36">
        <v>9.0</v>
      </c>
      <c r="C26" s="36">
        <v>8.42</v>
      </c>
      <c r="D26" s="36">
        <v>8.1</v>
      </c>
      <c r="E26" s="36">
        <v>1.6</v>
      </c>
      <c r="F26" s="36">
        <v>6.34</v>
      </c>
    </row>
    <row r="27" ht="15.75" customHeight="1">
      <c r="B27" s="36">
        <v>7.18</v>
      </c>
      <c r="C27" s="36">
        <v>4.81</v>
      </c>
      <c r="D27" s="36">
        <v>9.01</v>
      </c>
      <c r="E27" s="36">
        <v>4.67</v>
      </c>
      <c r="F27" s="36">
        <v>6.12</v>
      </c>
    </row>
    <row r="28" ht="15.75" customHeight="1">
      <c r="B28" s="36">
        <v>9.03</v>
      </c>
      <c r="C28" s="36">
        <v>5.76</v>
      </c>
      <c r="D28" s="36">
        <v>7.64</v>
      </c>
      <c r="E28" s="36">
        <v>2.5</v>
      </c>
      <c r="F28" s="36">
        <v>9.02</v>
      </c>
    </row>
    <row r="29" ht="15.75" customHeight="1">
      <c r="B29" s="36">
        <v>9.03</v>
      </c>
      <c r="C29" s="36">
        <v>6.7</v>
      </c>
      <c r="D29" s="36">
        <v>7.42</v>
      </c>
      <c r="E29" s="36">
        <v>1.06</v>
      </c>
      <c r="F29" s="36">
        <v>9.01</v>
      </c>
    </row>
    <row r="30" ht="15.75" customHeight="1">
      <c r="B30" s="36">
        <v>5.4</v>
      </c>
      <c r="C30" s="36">
        <v>7.86</v>
      </c>
      <c r="D30" s="36">
        <v>6.6</v>
      </c>
      <c r="E30" s="36">
        <v>6.11</v>
      </c>
      <c r="F30" s="36">
        <v>7.73</v>
      </c>
    </row>
    <row r="31" ht="15.75" customHeight="1">
      <c r="B31" s="36">
        <v>7.68</v>
      </c>
      <c r="C31" s="36">
        <v>9.0</v>
      </c>
      <c r="D31" s="36">
        <v>6.25</v>
      </c>
      <c r="E31" s="36">
        <v>2.92</v>
      </c>
      <c r="F31" s="36">
        <v>9.03</v>
      </c>
    </row>
    <row r="32" ht="15.75" customHeight="1">
      <c r="B32" s="36">
        <v>3.53</v>
      </c>
      <c r="C32" s="36">
        <v>9.01</v>
      </c>
      <c r="D32" s="36">
        <v>5.29</v>
      </c>
      <c r="E32" s="36">
        <v>0.7</v>
      </c>
      <c r="F32" s="36">
        <v>9.01</v>
      </c>
    </row>
    <row r="33" ht="15.75" customHeight="1">
      <c r="B33" s="36">
        <v>9.01</v>
      </c>
      <c r="C33" s="36">
        <v>4.63</v>
      </c>
      <c r="D33" s="36">
        <v>6.33</v>
      </c>
      <c r="E33" s="36">
        <v>2.6</v>
      </c>
      <c r="F33" s="36">
        <v>8.16</v>
      </c>
    </row>
    <row r="34" ht="15.75" customHeight="1">
      <c r="B34" s="36">
        <v>9.02</v>
      </c>
      <c r="C34" s="36">
        <v>9.02</v>
      </c>
      <c r="D34" s="36">
        <v>7.41</v>
      </c>
      <c r="E34" s="36">
        <v>2.27</v>
      </c>
      <c r="F34" s="36">
        <v>7.36</v>
      </c>
    </row>
    <row r="35" ht="15.75" customHeight="1">
      <c r="B35" s="36">
        <v>9.0</v>
      </c>
      <c r="C35" s="36">
        <v>9.06</v>
      </c>
      <c r="D35" s="36">
        <v>9.03</v>
      </c>
      <c r="E35" s="36">
        <v>0.95</v>
      </c>
      <c r="F35" s="36">
        <v>9.02</v>
      </c>
    </row>
    <row r="36" ht="15.75" customHeight="1">
      <c r="B36" s="36">
        <v>9.01</v>
      </c>
      <c r="C36" s="36">
        <v>8.36</v>
      </c>
      <c r="D36" s="36">
        <v>5.99</v>
      </c>
      <c r="E36" s="36">
        <v>1.08</v>
      </c>
      <c r="F36" s="36">
        <v>9.03</v>
      </c>
    </row>
    <row r="37" ht="15.75" customHeight="1">
      <c r="B37" s="36">
        <v>9.02</v>
      </c>
      <c r="C37" s="36">
        <v>4.27</v>
      </c>
      <c r="D37" s="36">
        <v>6.31</v>
      </c>
      <c r="E37" s="36">
        <v>1.67</v>
      </c>
      <c r="F37" s="36">
        <v>4.57</v>
      </c>
    </row>
    <row r="38" ht="15.75" customHeight="1">
      <c r="B38" s="36">
        <v>8.82</v>
      </c>
      <c r="C38" s="36">
        <v>6.75</v>
      </c>
      <c r="D38" s="36">
        <v>8.52</v>
      </c>
      <c r="E38" s="36">
        <v>1.33</v>
      </c>
      <c r="F38" s="36">
        <v>9.0</v>
      </c>
    </row>
    <row r="39" ht="15.75" customHeight="1">
      <c r="B39" s="36">
        <v>9.03</v>
      </c>
      <c r="C39" s="36">
        <v>9.0</v>
      </c>
      <c r="D39" s="36">
        <v>7.62</v>
      </c>
      <c r="E39" s="36">
        <v>1.21</v>
      </c>
      <c r="F39" s="36">
        <v>6.48</v>
      </c>
    </row>
    <row r="40" ht="15.75" customHeight="1">
      <c r="B40" s="36">
        <v>9.02</v>
      </c>
      <c r="C40" s="36">
        <v>7.81</v>
      </c>
      <c r="D40" s="36">
        <v>1.28</v>
      </c>
      <c r="E40" s="36">
        <v>1.41</v>
      </c>
      <c r="F40" s="36">
        <v>6.73</v>
      </c>
    </row>
    <row r="41" ht="15.75" customHeight="1">
      <c r="B41" s="36">
        <v>9.02</v>
      </c>
      <c r="C41" s="36">
        <v>6.64</v>
      </c>
      <c r="D41" s="36">
        <v>8.8</v>
      </c>
      <c r="E41" s="36">
        <v>3.02</v>
      </c>
      <c r="F41" s="36">
        <v>7.01</v>
      </c>
    </row>
    <row r="42" ht="15.75" customHeight="1">
      <c r="B42" s="36">
        <v>9.01</v>
      </c>
      <c r="C42" s="36">
        <v>6.16</v>
      </c>
      <c r="D42" s="36">
        <v>5.43</v>
      </c>
      <c r="E42" s="36">
        <v>1.01</v>
      </c>
      <c r="F42" s="36">
        <v>9.02</v>
      </c>
    </row>
    <row r="43" ht="15.75" customHeight="1">
      <c r="B43" s="36">
        <v>9.0</v>
      </c>
      <c r="C43" s="36">
        <v>8.84</v>
      </c>
      <c r="D43" s="36">
        <v>5.46</v>
      </c>
      <c r="E43" s="36">
        <v>2.13</v>
      </c>
      <c r="F43" s="36">
        <v>6.51</v>
      </c>
    </row>
    <row r="44" ht="15.75" customHeight="1">
      <c r="B44" s="36">
        <v>9.04</v>
      </c>
      <c r="C44" s="36">
        <v>7.95</v>
      </c>
      <c r="D44" s="36">
        <v>6.4</v>
      </c>
      <c r="E44" s="36">
        <v>3.16</v>
      </c>
      <c r="F44" s="36">
        <v>9.01</v>
      </c>
    </row>
    <row r="45" ht="15.75" customHeight="1">
      <c r="B45" s="36">
        <v>7.08</v>
      </c>
      <c r="C45" s="36">
        <v>7.35</v>
      </c>
      <c r="D45" s="36">
        <v>6.59</v>
      </c>
      <c r="E45" s="36">
        <v>2.98</v>
      </c>
      <c r="F45" s="36">
        <v>9.03</v>
      </c>
    </row>
    <row r="46" ht="15.75" customHeight="1">
      <c r="B46" s="36">
        <v>9.02</v>
      </c>
      <c r="C46" s="36">
        <v>9.01</v>
      </c>
      <c r="D46" s="36">
        <v>5.07</v>
      </c>
      <c r="E46" s="36">
        <v>0.58</v>
      </c>
      <c r="F46" s="36">
        <v>9.01</v>
      </c>
    </row>
    <row r="47" ht="15.75" customHeight="1">
      <c r="B47" s="36">
        <v>9.01</v>
      </c>
      <c r="C47" s="36">
        <v>5.24</v>
      </c>
      <c r="D47" s="36">
        <v>4.17</v>
      </c>
      <c r="E47" s="36">
        <v>3.7</v>
      </c>
      <c r="F47" s="36">
        <v>9.02</v>
      </c>
    </row>
    <row r="48" ht="15.75" customHeight="1">
      <c r="B48" s="36">
        <v>9.01</v>
      </c>
      <c r="C48" s="36">
        <v>6.43</v>
      </c>
      <c r="D48" s="36">
        <v>9.01</v>
      </c>
      <c r="E48" s="36">
        <v>1.63</v>
      </c>
      <c r="F48" s="36">
        <v>7.18</v>
      </c>
    </row>
    <row r="49" ht="15.75" customHeight="1">
      <c r="B49" s="36">
        <v>8.87</v>
      </c>
      <c r="C49" s="36">
        <v>9.0</v>
      </c>
      <c r="D49" s="36">
        <v>8.29</v>
      </c>
      <c r="E49" s="36">
        <v>1.87</v>
      </c>
      <c r="F49" s="36">
        <v>9.01</v>
      </c>
    </row>
    <row r="50" ht="15.75" customHeight="1">
      <c r="B50" s="36">
        <v>9.03</v>
      </c>
      <c r="C50" s="36">
        <v>8.62</v>
      </c>
      <c r="D50" s="36">
        <v>6.79</v>
      </c>
      <c r="E50" s="36">
        <v>1.37</v>
      </c>
      <c r="F50" s="36">
        <v>8.57</v>
      </c>
    </row>
    <row r="51" ht="15.75" customHeight="1">
      <c r="B51" s="36">
        <v>5.38</v>
      </c>
      <c r="C51" s="36">
        <v>8.76</v>
      </c>
      <c r="D51" s="36">
        <v>8.41</v>
      </c>
      <c r="E51" s="36">
        <v>2.65</v>
      </c>
      <c r="F51" s="36">
        <v>5.49</v>
      </c>
    </row>
    <row r="52" ht="15.75" customHeight="1">
      <c r="B52" s="36">
        <v>9.02</v>
      </c>
      <c r="C52" s="36">
        <v>5.2</v>
      </c>
      <c r="D52" s="36">
        <v>5.59</v>
      </c>
      <c r="E52" s="36">
        <v>1.84</v>
      </c>
      <c r="F52" s="36">
        <v>6.08</v>
      </c>
    </row>
    <row r="53" ht="15.75" customHeight="1">
      <c r="B53" s="36">
        <v>6.53</v>
      </c>
      <c r="C53" s="36">
        <v>6.81</v>
      </c>
      <c r="D53" s="36">
        <v>7.22</v>
      </c>
      <c r="E53" s="36">
        <v>2.08</v>
      </c>
      <c r="F53" s="36">
        <v>9.02</v>
      </c>
    </row>
    <row r="54" ht="15.75" customHeight="1">
      <c r="B54" s="36">
        <v>9.03</v>
      </c>
      <c r="C54" s="36">
        <v>0.94</v>
      </c>
      <c r="D54" s="36">
        <v>3.46</v>
      </c>
      <c r="E54" s="36">
        <v>2.84</v>
      </c>
      <c r="F54" s="36">
        <v>9.02</v>
      </c>
    </row>
    <row r="55" ht="15.75" customHeight="1">
      <c r="B55" s="36">
        <v>9.01</v>
      </c>
      <c r="C55" s="36">
        <v>6.33</v>
      </c>
      <c r="D55" s="36">
        <v>9.01</v>
      </c>
      <c r="E55" s="36">
        <v>2.53</v>
      </c>
      <c r="F55" s="36">
        <v>9.02</v>
      </c>
    </row>
    <row r="56" ht="15.75" customHeight="1">
      <c r="B56" s="36">
        <v>9.03</v>
      </c>
      <c r="C56" s="36">
        <v>5.29</v>
      </c>
      <c r="D56" s="36">
        <v>9.05</v>
      </c>
      <c r="E56" s="36">
        <v>2.26</v>
      </c>
      <c r="F56" s="36">
        <v>7.34</v>
      </c>
    </row>
    <row r="57" ht="15.75" customHeight="1">
      <c r="B57" s="36">
        <v>6.01</v>
      </c>
      <c r="C57" s="36">
        <v>5.33</v>
      </c>
      <c r="D57" s="36">
        <v>6.52</v>
      </c>
      <c r="E57" s="36">
        <v>1.26</v>
      </c>
      <c r="F57" s="36">
        <v>8.64</v>
      </c>
    </row>
    <row r="58" ht="15.75" customHeight="1">
      <c r="B58" s="36">
        <v>7.49</v>
      </c>
      <c r="C58" s="36">
        <v>9.04</v>
      </c>
      <c r="D58" s="36">
        <v>5.64</v>
      </c>
      <c r="E58" s="36">
        <v>2.09</v>
      </c>
      <c r="F58" s="36">
        <v>7.57</v>
      </c>
    </row>
    <row r="59" ht="15.75" customHeight="1">
      <c r="B59" s="36">
        <v>9.01</v>
      </c>
      <c r="C59" s="36">
        <v>9.0</v>
      </c>
      <c r="D59" s="36">
        <v>9.02</v>
      </c>
      <c r="E59" s="36">
        <v>2.05</v>
      </c>
      <c r="F59" s="36">
        <v>3.95</v>
      </c>
    </row>
    <row r="60" ht="15.75" customHeight="1">
      <c r="B60" s="36">
        <v>9.02</v>
      </c>
      <c r="C60" s="36">
        <v>2.26</v>
      </c>
      <c r="D60" s="36">
        <v>5.61</v>
      </c>
      <c r="E60" s="36">
        <v>0.65</v>
      </c>
      <c r="F60" s="36">
        <v>9.01</v>
      </c>
    </row>
    <row r="61" ht="15.75" customHeight="1">
      <c r="B61" s="36">
        <v>7.91</v>
      </c>
      <c r="C61" s="36">
        <v>7.77</v>
      </c>
      <c r="D61" s="36">
        <v>9.03</v>
      </c>
      <c r="E61" s="36">
        <v>1.86</v>
      </c>
      <c r="F61" s="36">
        <v>7.54</v>
      </c>
    </row>
    <row r="62" ht="15.75" customHeight="1">
      <c r="B62" s="36">
        <v>9.02</v>
      </c>
      <c r="C62" s="36">
        <v>8.75</v>
      </c>
      <c r="D62" s="36">
        <v>6.84</v>
      </c>
      <c r="E62" s="36">
        <v>0.62</v>
      </c>
      <c r="F62" s="36">
        <v>9.01</v>
      </c>
    </row>
    <row r="63" ht="15.75" customHeight="1">
      <c r="B63" s="36">
        <v>9.01</v>
      </c>
      <c r="C63" s="36">
        <v>7.39</v>
      </c>
      <c r="D63" s="36">
        <v>5.62</v>
      </c>
      <c r="E63" s="36">
        <v>4.3</v>
      </c>
      <c r="F63" s="36">
        <v>8.94</v>
      </c>
    </row>
    <row r="64" ht="15.75" customHeight="1">
      <c r="B64" s="36">
        <v>4.21</v>
      </c>
      <c r="C64" s="36">
        <v>5.16</v>
      </c>
      <c r="D64" s="36">
        <v>4.93</v>
      </c>
      <c r="E64" s="36">
        <v>2.41</v>
      </c>
      <c r="F64" s="36">
        <v>9.02</v>
      </c>
    </row>
    <row r="65" ht="15.75" customHeight="1">
      <c r="B65" s="36">
        <v>7.67</v>
      </c>
      <c r="C65" s="36">
        <v>9.01</v>
      </c>
      <c r="D65" s="36">
        <v>3.04</v>
      </c>
      <c r="E65" s="36">
        <v>5.49</v>
      </c>
      <c r="F65" s="36">
        <v>9.01</v>
      </c>
    </row>
    <row r="66" ht="15.75" customHeight="1">
      <c r="B66" s="36">
        <v>7.28</v>
      </c>
      <c r="C66" s="36">
        <v>0.47</v>
      </c>
      <c r="D66" s="36">
        <v>6.11</v>
      </c>
      <c r="E66" s="36">
        <v>0.88</v>
      </c>
      <c r="F66" s="36">
        <v>9.02</v>
      </c>
    </row>
    <row r="67" ht="15.75" customHeight="1">
      <c r="B67" s="36">
        <v>7.91</v>
      </c>
      <c r="C67" s="36">
        <v>4.61</v>
      </c>
      <c r="D67" s="36">
        <v>4.66</v>
      </c>
      <c r="E67" s="36">
        <v>2.23</v>
      </c>
      <c r="F67" s="36">
        <v>9.03</v>
      </c>
    </row>
    <row r="68" ht="15.75" customHeight="1">
      <c r="B68" s="36">
        <v>7.6</v>
      </c>
      <c r="C68" s="36">
        <v>1.48</v>
      </c>
      <c r="D68" s="36">
        <v>3.82</v>
      </c>
      <c r="E68" s="36">
        <v>1.66</v>
      </c>
      <c r="F68" s="36">
        <v>7.64</v>
      </c>
    </row>
    <row r="69" ht="15.75" customHeight="1">
      <c r="B69" s="36">
        <v>8.96</v>
      </c>
      <c r="C69" s="36">
        <v>6.36</v>
      </c>
      <c r="D69" s="36">
        <v>3.99</v>
      </c>
      <c r="E69" s="36">
        <v>2.75</v>
      </c>
      <c r="F69" s="36">
        <v>5.66</v>
      </c>
    </row>
    <row r="70" ht="15.75" customHeight="1">
      <c r="B70" s="36">
        <v>7.41</v>
      </c>
      <c r="C70" s="36">
        <v>9.01</v>
      </c>
      <c r="D70" s="36">
        <v>6.6</v>
      </c>
      <c r="E70" s="36">
        <v>2.9</v>
      </c>
      <c r="F70" s="36">
        <v>8.44</v>
      </c>
    </row>
    <row r="71" ht="15.75" customHeight="1">
      <c r="B71" s="36">
        <v>6.28</v>
      </c>
      <c r="C71" s="36">
        <v>5.79</v>
      </c>
      <c r="D71" s="36">
        <v>9.04</v>
      </c>
      <c r="E71" s="36">
        <v>0.96</v>
      </c>
      <c r="F71" s="36">
        <v>7.68</v>
      </c>
    </row>
    <row r="72" ht="15.75" customHeight="1">
      <c r="B72" s="36">
        <v>9.02</v>
      </c>
      <c r="C72" s="36">
        <v>8.61</v>
      </c>
      <c r="D72" s="36">
        <v>0.38</v>
      </c>
      <c r="E72" s="36">
        <v>2.55</v>
      </c>
      <c r="F72" s="36">
        <v>8.84</v>
      </c>
    </row>
    <row r="73" ht="15.75" customHeight="1">
      <c r="B73" s="36">
        <v>9.02</v>
      </c>
      <c r="C73" s="36">
        <v>5.33</v>
      </c>
      <c r="D73" s="36">
        <v>6.54</v>
      </c>
      <c r="E73" s="36">
        <v>1.15</v>
      </c>
      <c r="F73" s="36">
        <v>9.01</v>
      </c>
    </row>
    <row r="74" ht="15.75" customHeight="1">
      <c r="B74" s="36">
        <v>8.99</v>
      </c>
      <c r="C74" s="36">
        <v>9.04</v>
      </c>
      <c r="D74" s="36">
        <v>9.02</v>
      </c>
      <c r="E74" s="36">
        <v>3.15</v>
      </c>
      <c r="F74" s="36">
        <v>5.74</v>
      </c>
    </row>
    <row r="75" ht="15.75" customHeight="1">
      <c r="B75" s="36">
        <v>8.17</v>
      </c>
      <c r="C75" s="36">
        <v>4.37</v>
      </c>
      <c r="D75" s="36">
        <v>8.95</v>
      </c>
      <c r="E75" s="36">
        <v>2.27</v>
      </c>
      <c r="F75" s="36">
        <v>9.02</v>
      </c>
    </row>
    <row r="76" ht="15.75" customHeight="1">
      <c r="B76" s="36">
        <v>9.01</v>
      </c>
      <c r="C76" s="36">
        <v>6.72</v>
      </c>
      <c r="D76" s="36">
        <v>4.72</v>
      </c>
      <c r="E76" s="36">
        <v>2.89</v>
      </c>
      <c r="F76" s="36">
        <v>6.78</v>
      </c>
    </row>
    <row r="77" ht="15.75" customHeight="1">
      <c r="B77" s="36">
        <v>9.0</v>
      </c>
      <c r="C77" s="36">
        <v>8.89</v>
      </c>
      <c r="D77" s="36">
        <v>8.21</v>
      </c>
      <c r="E77" s="36">
        <v>2.89</v>
      </c>
      <c r="F77" s="36">
        <v>9.02</v>
      </c>
    </row>
    <row r="78" ht="15.75" customHeight="1">
      <c r="B78" s="36">
        <v>7.23</v>
      </c>
      <c r="C78" s="36">
        <v>9.0</v>
      </c>
      <c r="D78" s="36">
        <v>7.61</v>
      </c>
      <c r="E78" s="36">
        <v>2.64</v>
      </c>
      <c r="F78" s="36">
        <v>8.38</v>
      </c>
    </row>
    <row r="79" ht="15.75" customHeight="1">
      <c r="B79" s="36">
        <v>5.25</v>
      </c>
      <c r="C79" s="36">
        <v>5.43</v>
      </c>
      <c r="D79" s="36">
        <v>8.57</v>
      </c>
      <c r="E79" s="36">
        <v>2.02</v>
      </c>
      <c r="F79" s="36">
        <v>5.83</v>
      </c>
    </row>
    <row r="80" ht="15.75" customHeight="1">
      <c r="B80" s="36">
        <v>9.02</v>
      </c>
      <c r="C80" s="36">
        <v>9.01</v>
      </c>
      <c r="D80" s="36">
        <v>5.74</v>
      </c>
      <c r="E80" s="36">
        <v>1.67</v>
      </c>
      <c r="F80" s="36">
        <v>7.41</v>
      </c>
    </row>
    <row r="81" ht="15.75" customHeight="1">
      <c r="B81" s="36">
        <v>5.99</v>
      </c>
      <c r="C81" s="36">
        <v>8.59</v>
      </c>
      <c r="D81" s="36">
        <v>8.38</v>
      </c>
      <c r="E81" s="36">
        <v>3.6</v>
      </c>
      <c r="F81" s="36">
        <v>7.74</v>
      </c>
    </row>
    <row r="82" ht="15.75" customHeight="1">
      <c r="B82" s="36">
        <v>9.02</v>
      </c>
      <c r="C82" s="36">
        <v>3.65</v>
      </c>
      <c r="D82" s="36">
        <v>9.01</v>
      </c>
      <c r="E82" s="36">
        <v>0.75</v>
      </c>
      <c r="F82" s="36">
        <v>9.01</v>
      </c>
    </row>
    <row r="83" ht="15.75" customHeight="1">
      <c r="B83" s="36">
        <v>9.0</v>
      </c>
      <c r="C83" s="36">
        <v>4.33</v>
      </c>
      <c r="D83" s="36">
        <v>5.71</v>
      </c>
      <c r="E83" s="36">
        <v>2.43</v>
      </c>
      <c r="F83" s="36">
        <v>9.01</v>
      </c>
    </row>
    <row r="84" ht="15.75" customHeight="1">
      <c r="B84" s="36">
        <v>9.02</v>
      </c>
      <c r="C84" s="36">
        <v>8.91</v>
      </c>
      <c r="D84" s="36">
        <v>9.01</v>
      </c>
      <c r="E84" s="36">
        <v>4.12</v>
      </c>
      <c r="F84" s="36">
        <v>9.04</v>
      </c>
    </row>
    <row r="85" ht="15.75" customHeight="1">
      <c r="B85" s="36">
        <v>9.01</v>
      </c>
      <c r="C85" s="36">
        <v>4.13</v>
      </c>
      <c r="D85" s="36">
        <v>9.02</v>
      </c>
      <c r="E85" s="36">
        <v>2.16</v>
      </c>
      <c r="F85" s="36">
        <v>9.01</v>
      </c>
    </row>
    <row r="86" ht="15.75" customHeight="1">
      <c r="B86" s="36">
        <v>9.02</v>
      </c>
      <c r="C86" s="36">
        <v>5.95</v>
      </c>
      <c r="D86" s="36">
        <v>7.78</v>
      </c>
      <c r="E86" s="36">
        <v>2.71</v>
      </c>
      <c r="F86" s="36">
        <v>3.78</v>
      </c>
    </row>
    <row r="87" ht="15.75" customHeight="1">
      <c r="B87" s="36">
        <v>9.01</v>
      </c>
      <c r="C87" s="36">
        <v>6.05</v>
      </c>
      <c r="D87" s="36">
        <v>4.9</v>
      </c>
      <c r="E87" s="36">
        <v>2.55</v>
      </c>
      <c r="F87" s="36">
        <v>9.04</v>
      </c>
    </row>
    <row r="88" ht="15.75" customHeight="1">
      <c r="B88" s="36">
        <v>9.01</v>
      </c>
      <c r="C88" s="36">
        <v>9.01</v>
      </c>
      <c r="D88" s="36">
        <v>4.77</v>
      </c>
      <c r="E88" s="36">
        <v>1.46</v>
      </c>
      <c r="F88" s="36">
        <v>9.02</v>
      </c>
    </row>
    <row r="89" ht="15.75" customHeight="1">
      <c r="B89" s="36">
        <v>9.01</v>
      </c>
      <c r="C89" s="36">
        <v>4.88</v>
      </c>
      <c r="D89" s="36">
        <v>7.06</v>
      </c>
      <c r="E89" s="36">
        <v>1.05</v>
      </c>
      <c r="F89" s="36">
        <v>8.88</v>
      </c>
    </row>
    <row r="90" ht="15.75" customHeight="1">
      <c r="B90" s="36">
        <v>8.83</v>
      </c>
      <c r="C90" s="36">
        <v>4.74</v>
      </c>
      <c r="D90" s="36">
        <v>6.93</v>
      </c>
      <c r="E90" s="36">
        <v>2.82</v>
      </c>
      <c r="F90" s="36">
        <v>5.99</v>
      </c>
    </row>
    <row r="91" ht="15.75" customHeight="1">
      <c r="B91" s="36">
        <v>9.0</v>
      </c>
      <c r="C91" s="36">
        <v>8.9</v>
      </c>
      <c r="D91" s="36">
        <v>2.58</v>
      </c>
      <c r="E91" s="36">
        <v>2.02</v>
      </c>
      <c r="F91" s="36">
        <v>8.21</v>
      </c>
    </row>
    <row r="92" ht="15.75" customHeight="1">
      <c r="B92" s="36">
        <v>9.01</v>
      </c>
      <c r="C92" s="36">
        <v>0.85</v>
      </c>
      <c r="D92" s="36">
        <v>8.08</v>
      </c>
      <c r="E92" s="36">
        <v>1.59</v>
      </c>
      <c r="F92" s="36">
        <v>7.36</v>
      </c>
    </row>
    <row r="93" ht="15.75" customHeight="1">
      <c r="B93" s="36">
        <v>9.0</v>
      </c>
      <c r="C93" s="36">
        <v>6.7</v>
      </c>
      <c r="D93" s="36">
        <v>5.97</v>
      </c>
      <c r="E93" s="36">
        <v>2.6</v>
      </c>
      <c r="F93" s="36">
        <v>8.34</v>
      </c>
    </row>
    <row r="94" ht="15.75" customHeight="1">
      <c r="B94" s="36">
        <v>9.02</v>
      </c>
      <c r="C94" s="36">
        <v>7.4</v>
      </c>
      <c r="D94" s="36">
        <v>7.95</v>
      </c>
      <c r="E94" s="36">
        <v>2.13</v>
      </c>
      <c r="F94" s="36">
        <v>7.65</v>
      </c>
    </row>
    <row r="95" ht="15.75" customHeight="1">
      <c r="B95" s="36">
        <v>7.55</v>
      </c>
      <c r="C95" s="36">
        <v>7.66</v>
      </c>
      <c r="D95" s="36">
        <v>9.02</v>
      </c>
      <c r="E95" s="36">
        <v>1.29</v>
      </c>
      <c r="F95" s="36">
        <v>5.68</v>
      </c>
    </row>
    <row r="96" ht="15.75" customHeight="1">
      <c r="B96" s="36">
        <v>8.12</v>
      </c>
      <c r="C96" s="36">
        <v>8.56</v>
      </c>
      <c r="D96" s="36">
        <v>4.35</v>
      </c>
      <c r="E96" s="36">
        <v>2.35</v>
      </c>
      <c r="F96" s="36">
        <v>9.02</v>
      </c>
    </row>
    <row r="97" ht="15.75" customHeight="1">
      <c r="B97" s="36">
        <v>7.76</v>
      </c>
      <c r="C97" s="36">
        <v>9.02</v>
      </c>
      <c r="D97" s="36">
        <v>6.41</v>
      </c>
      <c r="E97" s="36">
        <v>1.23</v>
      </c>
      <c r="F97" s="36">
        <v>9.0</v>
      </c>
    </row>
    <row r="98" ht="15.75" customHeight="1">
      <c r="B98" s="36">
        <v>9.02</v>
      </c>
      <c r="C98" s="36">
        <v>7.28</v>
      </c>
      <c r="D98" s="36">
        <v>9.0</v>
      </c>
      <c r="E98" s="36">
        <v>1.81</v>
      </c>
      <c r="F98" s="36">
        <v>9.01</v>
      </c>
    </row>
    <row r="99" ht="15.75" customHeight="1">
      <c r="B99" s="36">
        <v>9.01</v>
      </c>
      <c r="C99" s="36">
        <v>7.54</v>
      </c>
      <c r="D99" s="36">
        <v>5.2</v>
      </c>
      <c r="E99" s="36">
        <v>2.64</v>
      </c>
      <c r="F99" s="36">
        <v>9.04</v>
      </c>
    </row>
    <row r="100" ht="15.75" customHeight="1">
      <c r="B100" s="36">
        <v>9.03</v>
      </c>
      <c r="C100" s="36">
        <v>8.58</v>
      </c>
      <c r="D100" s="36">
        <v>7.55</v>
      </c>
      <c r="E100" s="36">
        <v>3.6</v>
      </c>
      <c r="F100" s="36">
        <v>9.03</v>
      </c>
    </row>
    <row r="101" ht="15.75" customHeight="1">
      <c r="B101" s="36">
        <v>6.3</v>
      </c>
      <c r="C101" s="36">
        <v>6.2</v>
      </c>
      <c r="D101" s="36">
        <v>8.33</v>
      </c>
      <c r="E101" s="36">
        <v>1.78</v>
      </c>
      <c r="F101" s="36">
        <v>9.0</v>
      </c>
    </row>
    <row r="102" ht="15.75" customHeight="1">
      <c r="B102" s="36">
        <v>9.02</v>
      </c>
      <c r="C102" s="36">
        <v>-0.04</v>
      </c>
      <c r="D102" s="36">
        <v>5.45</v>
      </c>
      <c r="E102" s="36">
        <v>3.02</v>
      </c>
      <c r="F102" s="36">
        <v>9.02</v>
      </c>
    </row>
    <row r="103" ht="15.75" customHeight="1">
      <c r="B103" s="37">
        <v>9.04</v>
      </c>
      <c r="C103" s="37">
        <v>8.05</v>
      </c>
      <c r="D103" s="37">
        <v>6.27</v>
      </c>
      <c r="E103" s="37">
        <v>2.28</v>
      </c>
      <c r="F103" s="37">
        <v>6.35</v>
      </c>
    </row>
    <row r="104" ht="15.75" customHeight="1"/>
    <row r="105" ht="15.75" customHeight="1"/>
    <row r="106" ht="15.75" customHeight="1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 ht="15.75" customHeight="1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 ht="15.75" customHeight="1">
      <c r="B108" s="40" t="s">
        <v>8</v>
      </c>
      <c r="C108" s="41">
        <v>8.2755</v>
      </c>
      <c r="D108" s="41">
        <v>1.343</v>
      </c>
      <c r="E108" s="41">
        <v>9.01</v>
      </c>
      <c r="F108" s="41">
        <v>8.0123</v>
      </c>
      <c r="G108" s="41">
        <v>8.5387</v>
      </c>
      <c r="H108" s="42">
        <v>1.85</v>
      </c>
      <c r="I108" s="42">
        <v>9.04</v>
      </c>
      <c r="J108" s="43">
        <v>16.2</v>
      </c>
    </row>
    <row r="109" ht="15.75" customHeight="1">
      <c r="B109" s="40" t="s">
        <v>7</v>
      </c>
      <c r="C109" s="41">
        <v>6.7496</v>
      </c>
      <c r="D109" s="41">
        <v>2.1844</v>
      </c>
      <c r="E109" s="41">
        <v>7.27</v>
      </c>
      <c r="F109" s="41">
        <v>6.3215</v>
      </c>
      <c r="G109" s="41">
        <v>7.1777</v>
      </c>
      <c r="H109" s="42">
        <v>-0.04</v>
      </c>
      <c r="I109" s="42">
        <v>9.06</v>
      </c>
      <c r="J109" s="43">
        <v>32.4</v>
      </c>
    </row>
    <row r="110" ht="15.75" customHeight="1">
      <c r="B110" s="40" t="s">
        <v>12</v>
      </c>
      <c r="C110" s="41">
        <v>6.6273</v>
      </c>
      <c r="D110" s="41">
        <v>1.9196</v>
      </c>
      <c r="E110" s="41">
        <v>6.575</v>
      </c>
      <c r="F110" s="41">
        <v>6.2511</v>
      </c>
      <c r="G110" s="41">
        <v>7.0035</v>
      </c>
      <c r="H110" s="42">
        <v>0.38</v>
      </c>
      <c r="I110" s="42">
        <v>9.05</v>
      </c>
      <c r="J110" s="43">
        <v>29.0</v>
      </c>
    </row>
    <row r="111" ht="15.75" customHeight="1">
      <c r="B111" s="40" t="s">
        <v>9</v>
      </c>
      <c r="C111" s="41">
        <v>2.3434</v>
      </c>
      <c r="D111" s="41">
        <v>1.1055</v>
      </c>
      <c r="E111" s="41">
        <v>2.25</v>
      </c>
      <c r="F111" s="41">
        <v>2.1267</v>
      </c>
      <c r="G111" s="41">
        <v>2.5601</v>
      </c>
      <c r="H111" s="42">
        <v>0.58</v>
      </c>
      <c r="I111" s="42">
        <v>6.11</v>
      </c>
      <c r="J111" s="43">
        <v>47.2</v>
      </c>
    </row>
    <row r="112" ht="15.75" customHeight="1">
      <c r="B112" s="44" t="s">
        <v>11</v>
      </c>
      <c r="C112" s="45">
        <v>8.1068</v>
      </c>
      <c r="D112" s="45">
        <v>1.2899</v>
      </c>
      <c r="E112" s="45">
        <v>9.0</v>
      </c>
      <c r="F112" s="45">
        <v>7.854</v>
      </c>
      <c r="G112" s="45">
        <v>8.3596</v>
      </c>
      <c r="H112" s="46">
        <v>3.78</v>
      </c>
      <c r="I112" s="47">
        <v>9.04</v>
      </c>
      <c r="J112" s="48">
        <v>15.9</v>
      </c>
    </row>
    <row r="113" ht="15.75" customHeight="1">
      <c r="B113" s="40"/>
      <c r="C113" s="41"/>
      <c r="D113" s="41"/>
      <c r="E113" s="41"/>
      <c r="F113" s="41"/>
      <c r="G113" s="41"/>
      <c r="H113" s="42"/>
      <c r="I113" s="42"/>
      <c r="J113" s="43"/>
    </row>
    <row r="114" ht="15.75" customHeight="1">
      <c r="B114" s="49"/>
      <c r="C114" s="49"/>
      <c r="D114" s="49"/>
      <c r="E114" s="49"/>
      <c r="F114" s="49"/>
      <c r="G114" s="49"/>
      <c r="H114" s="49"/>
      <c r="I114" s="49"/>
      <c r="J114" s="49"/>
    </row>
    <row r="115" ht="15.75" customHeight="1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 ht="15.75" customHeight="1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 ht="15.75" customHeight="1">
      <c r="B117" s="45">
        <v>14.3974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 ht="15.75" customHeight="1">
      <c r="B118" s="41"/>
      <c r="C118" s="42"/>
      <c r="D118" s="52"/>
      <c r="E118" s="49"/>
      <c r="F118" s="49"/>
      <c r="G118" s="49"/>
      <c r="H118" s="49"/>
      <c r="I118" s="49"/>
      <c r="J118" s="49"/>
    </row>
    <row r="119" ht="15.75" customHeight="1">
      <c r="B119" s="49"/>
      <c r="C119" s="49"/>
      <c r="D119" s="49"/>
      <c r="E119" s="49"/>
      <c r="F119" s="49"/>
      <c r="G119" s="49"/>
      <c r="H119" s="49"/>
      <c r="I119" s="49"/>
      <c r="J119" s="49"/>
    </row>
    <row r="120" ht="15.75" customHeight="1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 ht="15.75" customHeight="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 ht="15.75" customHeight="1">
      <c r="B122" s="47">
        <v>413.9859</v>
      </c>
      <c r="C122" s="47">
        <v>4.0</v>
      </c>
      <c r="D122" s="47">
        <v>10.0</v>
      </c>
      <c r="E122" s="50" t="s">
        <v>35</v>
      </c>
      <c r="F122" s="51" t="s">
        <v>41</v>
      </c>
      <c r="G122" s="49"/>
      <c r="H122" s="49"/>
      <c r="I122" s="49"/>
      <c r="J122" s="49"/>
    </row>
    <row r="123" ht="15.75" customHeight="1">
      <c r="B123" s="42"/>
      <c r="C123" s="42"/>
      <c r="D123" s="42"/>
      <c r="E123" s="42"/>
      <c r="F123" s="52"/>
      <c r="G123" s="49"/>
      <c r="H123" s="49"/>
      <c r="I123" s="49"/>
      <c r="J123" s="49"/>
    </row>
    <row r="124" ht="15.75" customHeight="1">
      <c r="B124" s="49"/>
      <c r="C124" s="49"/>
      <c r="D124" s="49"/>
      <c r="E124" s="49"/>
      <c r="F124" s="49"/>
      <c r="G124" s="49"/>
      <c r="H124" s="49"/>
      <c r="I124" s="49"/>
      <c r="J124" s="49"/>
    </row>
    <row r="125" ht="15.75" customHeight="1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 ht="15.75" customHeight="1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 ht="15.75" customHeight="1">
      <c r="B127" s="40" t="s">
        <v>8</v>
      </c>
      <c r="C127" s="40" t="s">
        <v>7</v>
      </c>
      <c r="D127" s="41">
        <v>1.5259</v>
      </c>
      <c r="E127" s="41">
        <v>0.2564</v>
      </c>
      <c r="F127" s="41">
        <v>1.0196</v>
      </c>
      <c r="G127" s="41">
        <v>2.0322</v>
      </c>
      <c r="H127" s="53" t="s">
        <v>35</v>
      </c>
      <c r="I127" s="52" t="s">
        <v>48</v>
      </c>
      <c r="J127" s="49"/>
    </row>
    <row r="128" ht="15.75" customHeight="1">
      <c r="B128" s="40" t="s">
        <v>8</v>
      </c>
      <c r="C128" s="40" t="s">
        <v>12</v>
      </c>
      <c r="D128" s="41">
        <v>1.6482</v>
      </c>
      <c r="E128" s="41">
        <v>0.2343</v>
      </c>
      <c r="F128" s="41">
        <v>1.1859</v>
      </c>
      <c r="G128" s="41">
        <v>2.1105</v>
      </c>
      <c r="H128" s="53" t="s">
        <v>35</v>
      </c>
      <c r="I128" s="52" t="s">
        <v>48</v>
      </c>
      <c r="J128" s="49"/>
    </row>
    <row r="129" ht="15.75" customHeight="1">
      <c r="B129" s="40" t="s">
        <v>8</v>
      </c>
      <c r="C129" s="40" t="s">
        <v>9</v>
      </c>
      <c r="D129" s="41">
        <v>5.9321</v>
      </c>
      <c r="E129" s="41">
        <v>0.174</v>
      </c>
      <c r="F129" s="41">
        <v>5.589</v>
      </c>
      <c r="G129" s="41">
        <v>6.2752</v>
      </c>
      <c r="H129" s="53" t="s">
        <v>35</v>
      </c>
      <c r="I129" s="52" t="s">
        <v>48</v>
      </c>
      <c r="J129" s="49"/>
    </row>
    <row r="130" ht="15.75" customHeight="1">
      <c r="B130" s="40" t="s">
        <v>8</v>
      </c>
      <c r="C130" s="40" t="s">
        <v>11</v>
      </c>
      <c r="D130" s="41">
        <v>0.1687</v>
      </c>
      <c r="E130" s="41">
        <v>0.1862</v>
      </c>
      <c r="F130" s="41">
        <v>-0.1985</v>
      </c>
      <c r="G130" s="41">
        <v>0.5359</v>
      </c>
      <c r="H130" s="53">
        <v>0.3661</v>
      </c>
      <c r="I130" s="52" t="s">
        <v>49</v>
      </c>
      <c r="J130" s="49"/>
    </row>
    <row r="131" ht="15.75" customHeight="1">
      <c r="B131" s="40" t="s">
        <v>7</v>
      </c>
      <c r="C131" s="40" t="s">
        <v>12</v>
      </c>
      <c r="D131" s="41">
        <v>0.1223</v>
      </c>
      <c r="E131" s="41">
        <v>0.2908</v>
      </c>
      <c r="F131" s="41">
        <v>-0.4512</v>
      </c>
      <c r="G131" s="41">
        <v>0.6958</v>
      </c>
      <c r="H131" s="53">
        <v>0.6745</v>
      </c>
      <c r="I131" s="52" t="s">
        <v>49</v>
      </c>
      <c r="J131" s="49"/>
    </row>
    <row r="132" ht="15.75" customHeight="1">
      <c r="B132" s="40" t="s">
        <v>7</v>
      </c>
      <c r="C132" s="40" t="s">
        <v>9</v>
      </c>
      <c r="D132" s="41">
        <v>4.4062</v>
      </c>
      <c r="E132" s="41">
        <v>0.2448</v>
      </c>
      <c r="F132" s="41">
        <v>3.9224</v>
      </c>
      <c r="G132" s="41">
        <v>4.89</v>
      </c>
      <c r="H132" s="53" t="s">
        <v>35</v>
      </c>
      <c r="I132" s="52" t="s">
        <v>48</v>
      </c>
      <c r="J132" s="49"/>
    </row>
    <row r="133" ht="15.75" customHeight="1">
      <c r="B133" s="40" t="s">
        <v>7</v>
      </c>
      <c r="C133" s="40" t="s">
        <v>11</v>
      </c>
      <c r="D133" s="41">
        <v>-1.3572</v>
      </c>
      <c r="E133" s="41">
        <v>0.2537</v>
      </c>
      <c r="F133" s="41">
        <v>-1.8582</v>
      </c>
      <c r="G133" s="41">
        <v>-0.8562</v>
      </c>
      <c r="H133" s="53" t="s">
        <v>35</v>
      </c>
      <c r="I133" s="52" t="s">
        <v>48</v>
      </c>
      <c r="J133" s="49"/>
    </row>
    <row r="134" ht="15.75" customHeight="1">
      <c r="B134" s="40" t="s">
        <v>12</v>
      </c>
      <c r="C134" s="40" t="s">
        <v>9</v>
      </c>
      <c r="D134" s="41">
        <v>4.2839</v>
      </c>
      <c r="E134" s="41">
        <v>0.2215</v>
      </c>
      <c r="F134" s="41">
        <v>3.8464</v>
      </c>
      <c r="G134" s="41">
        <v>4.7214</v>
      </c>
      <c r="H134" s="53" t="s">
        <v>35</v>
      </c>
      <c r="I134" s="52" t="s">
        <v>48</v>
      </c>
      <c r="J134" s="49"/>
    </row>
    <row r="135" ht="15.75" customHeight="1">
      <c r="B135" s="40" t="s">
        <v>12</v>
      </c>
      <c r="C135" s="40" t="s">
        <v>11</v>
      </c>
      <c r="D135" s="41">
        <v>-1.4795</v>
      </c>
      <c r="E135" s="41">
        <v>0.2313</v>
      </c>
      <c r="F135" s="41">
        <v>-1.936</v>
      </c>
      <c r="G135" s="41">
        <v>-1.023</v>
      </c>
      <c r="H135" s="53" t="s">
        <v>35</v>
      </c>
      <c r="I135" s="52" t="s">
        <v>48</v>
      </c>
      <c r="J135" s="49"/>
    </row>
    <row r="136" ht="15.75" customHeight="1">
      <c r="B136" s="44" t="s">
        <v>9</v>
      </c>
      <c r="C136" s="44" t="s">
        <v>11</v>
      </c>
      <c r="D136" s="45">
        <v>-5.7634</v>
      </c>
      <c r="E136" s="45">
        <v>0.1699</v>
      </c>
      <c r="F136" s="45">
        <v>-6.0985</v>
      </c>
      <c r="G136" s="45">
        <v>-5.4283</v>
      </c>
      <c r="H136" s="54" t="s">
        <v>35</v>
      </c>
      <c r="I136" s="51" t="s">
        <v>48</v>
      </c>
      <c r="J136" s="49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5">
    <mergeCell ref="B2:F2"/>
    <mergeCell ref="B106:J106"/>
    <mergeCell ref="B115:D115"/>
    <mergeCell ref="B120:F120"/>
    <mergeCell ref="B125:I12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75"/>
    <col customWidth="1" min="3" max="3" width="11.88"/>
    <col customWidth="1" min="4" max="4" width="15.88"/>
    <col customWidth="1" min="5" max="5" width="11.88"/>
    <col customWidth="1" min="6" max="6" width="13.88"/>
    <col customWidth="1" min="7" max="7" width="15.13"/>
    <col customWidth="1" min="8" max="10" width="11.88"/>
    <col customWidth="1" min="11" max="26" width="8.63"/>
  </cols>
  <sheetData>
    <row r="2">
      <c r="B2" s="33" t="s">
        <v>55</v>
      </c>
      <c r="C2" s="34"/>
      <c r="D2" s="34"/>
      <c r="E2" s="34"/>
      <c r="F2" s="34"/>
    </row>
    <row r="3">
      <c r="B3" s="35" t="s">
        <v>7</v>
      </c>
      <c r="C3" s="35" t="s">
        <v>12</v>
      </c>
      <c r="D3" s="35" t="s">
        <v>9</v>
      </c>
      <c r="E3" s="35" t="s">
        <v>11</v>
      </c>
      <c r="F3" s="35" t="s">
        <v>10</v>
      </c>
    </row>
    <row r="4">
      <c r="B4" s="36">
        <v>0.56</v>
      </c>
      <c r="C4" s="36">
        <v>0.72</v>
      </c>
      <c r="D4" s="36">
        <v>0.17</v>
      </c>
      <c r="E4" s="36">
        <v>0.9</v>
      </c>
      <c r="F4" s="36">
        <v>0.76</v>
      </c>
    </row>
    <row r="5">
      <c r="B5" s="36">
        <v>0.65</v>
      </c>
      <c r="C5" s="36">
        <v>0.64</v>
      </c>
      <c r="D5" s="36">
        <v>0.58</v>
      </c>
      <c r="E5" s="36">
        <v>0.86</v>
      </c>
      <c r="F5" s="36">
        <v>0.7</v>
      </c>
    </row>
    <row r="6">
      <c r="B6" s="36">
        <v>0.68</v>
      </c>
      <c r="C6" s="36">
        <v>0.69</v>
      </c>
      <c r="D6" s="36">
        <v>0.03</v>
      </c>
      <c r="E6" s="36">
        <v>0.78</v>
      </c>
      <c r="F6" s="36">
        <v>0.7</v>
      </c>
    </row>
    <row r="7">
      <c r="B7" s="36">
        <v>0.74</v>
      </c>
      <c r="C7" s="36">
        <v>0.54</v>
      </c>
      <c r="D7" s="36">
        <v>0.5</v>
      </c>
      <c r="E7" s="36">
        <v>0.88</v>
      </c>
      <c r="F7" s="36">
        <v>0.75</v>
      </c>
    </row>
    <row r="8">
      <c r="B8" s="36">
        <v>0.73</v>
      </c>
      <c r="C8" s="36">
        <v>0.64</v>
      </c>
      <c r="D8" s="36">
        <v>0.03</v>
      </c>
      <c r="E8" s="36">
        <v>0.82</v>
      </c>
      <c r="F8" s="36">
        <v>0.71</v>
      </c>
    </row>
    <row r="9">
      <c r="B9" s="36">
        <v>0.74</v>
      </c>
      <c r="C9" s="36">
        <v>0.59</v>
      </c>
      <c r="D9" s="36">
        <v>0.62</v>
      </c>
      <c r="E9" s="36">
        <v>0.81</v>
      </c>
      <c r="F9" s="36">
        <v>0.73</v>
      </c>
    </row>
    <row r="10">
      <c r="B10" s="36">
        <v>0.78</v>
      </c>
      <c r="C10" s="36">
        <v>0.74</v>
      </c>
      <c r="D10" s="36">
        <v>0.33</v>
      </c>
      <c r="E10" s="36">
        <v>0.9</v>
      </c>
      <c r="F10" s="36">
        <v>0.7</v>
      </c>
    </row>
    <row r="11">
      <c r="B11" s="36">
        <v>0.71</v>
      </c>
      <c r="C11" s="36">
        <v>0.75</v>
      </c>
      <c r="D11" s="36">
        <v>0.12</v>
      </c>
      <c r="E11" s="36">
        <v>0.92</v>
      </c>
      <c r="F11" s="36">
        <v>0.67</v>
      </c>
    </row>
    <row r="12">
      <c r="B12" s="36">
        <v>0.89</v>
      </c>
      <c r="C12" s="36">
        <v>0.68</v>
      </c>
      <c r="D12" s="36">
        <v>0.7</v>
      </c>
      <c r="E12" s="36">
        <v>0.9</v>
      </c>
      <c r="F12" s="36">
        <v>0.68</v>
      </c>
    </row>
    <row r="13">
      <c r="B13" s="36">
        <v>0.75</v>
      </c>
      <c r="C13" s="36">
        <v>0.67</v>
      </c>
      <c r="D13" s="36">
        <v>0.42</v>
      </c>
      <c r="E13" s="36">
        <v>0.86</v>
      </c>
      <c r="F13" s="36">
        <v>0.75</v>
      </c>
    </row>
    <row r="14">
      <c r="B14" s="36">
        <v>0.67</v>
      </c>
      <c r="C14" s="36">
        <v>0.74</v>
      </c>
      <c r="D14" s="36">
        <v>0.66</v>
      </c>
      <c r="E14" s="36">
        <v>0.79</v>
      </c>
      <c r="F14" s="36">
        <v>0.78</v>
      </c>
    </row>
    <row r="15">
      <c r="B15" s="36">
        <v>0.71</v>
      </c>
      <c r="C15" s="36">
        <v>0.66</v>
      </c>
      <c r="D15" s="36">
        <v>0.19</v>
      </c>
      <c r="E15" s="36">
        <v>0.87</v>
      </c>
      <c r="F15" s="36">
        <v>0.69</v>
      </c>
    </row>
    <row r="16">
      <c r="B16" s="36">
        <v>0.73</v>
      </c>
      <c r="C16" s="36">
        <v>0.64</v>
      </c>
      <c r="D16" s="36">
        <v>0.02</v>
      </c>
      <c r="E16" s="36">
        <v>0.86</v>
      </c>
      <c r="F16" s="36">
        <v>0.42</v>
      </c>
    </row>
    <row r="17">
      <c r="B17" s="36">
        <v>0.74</v>
      </c>
      <c r="C17" s="36">
        <v>0.62</v>
      </c>
      <c r="D17" s="36">
        <v>0.5</v>
      </c>
      <c r="E17" s="36">
        <v>0.81</v>
      </c>
      <c r="F17" s="36">
        <v>0.65</v>
      </c>
    </row>
    <row r="18">
      <c r="B18" s="36">
        <v>-0.01</v>
      </c>
      <c r="C18" s="36">
        <v>0.69</v>
      </c>
      <c r="D18" s="36">
        <v>0.45</v>
      </c>
      <c r="E18" s="36">
        <v>0.75</v>
      </c>
      <c r="F18" s="36">
        <v>0.64</v>
      </c>
    </row>
    <row r="19">
      <c r="B19" s="36">
        <v>0.7</v>
      </c>
      <c r="C19" s="36">
        <v>0.74</v>
      </c>
      <c r="D19" s="36">
        <v>0.32</v>
      </c>
      <c r="E19" s="36">
        <v>0.75</v>
      </c>
      <c r="F19" s="36">
        <v>0.73</v>
      </c>
    </row>
    <row r="20">
      <c r="B20" s="36">
        <v>0.72</v>
      </c>
      <c r="C20" s="36">
        <v>0.68</v>
      </c>
      <c r="D20" s="36">
        <v>0.43</v>
      </c>
      <c r="E20" s="36">
        <v>0.86</v>
      </c>
      <c r="F20" s="36">
        <v>0.67</v>
      </c>
    </row>
    <row r="21" ht="15.75" customHeight="1">
      <c r="B21" s="36">
        <v>0.61</v>
      </c>
      <c r="C21" s="36">
        <v>0.69</v>
      </c>
      <c r="D21" s="36">
        <v>0.42</v>
      </c>
      <c r="E21" s="36">
        <v>0.84</v>
      </c>
      <c r="F21" s="36">
        <v>0.61</v>
      </c>
    </row>
    <row r="22" ht="15.75" customHeight="1">
      <c r="B22" s="36">
        <v>0.53</v>
      </c>
      <c r="C22" s="36">
        <v>0.7</v>
      </c>
      <c r="D22" s="36">
        <v>0.03</v>
      </c>
      <c r="E22" s="36">
        <v>0.86</v>
      </c>
      <c r="F22" s="36">
        <v>0.7</v>
      </c>
    </row>
    <row r="23" ht="15.75" customHeight="1">
      <c r="B23" s="36">
        <v>-0.05</v>
      </c>
      <c r="C23" s="36">
        <v>0.38</v>
      </c>
      <c r="D23" s="36">
        <v>-0.03</v>
      </c>
      <c r="E23" s="36">
        <v>0.88</v>
      </c>
      <c r="F23" s="36">
        <v>0.37</v>
      </c>
    </row>
    <row r="24" ht="15.75" customHeight="1">
      <c r="B24" s="36">
        <v>0.76</v>
      </c>
      <c r="C24" s="36">
        <v>0.72</v>
      </c>
      <c r="D24" s="36">
        <v>0.36</v>
      </c>
      <c r="E24" s="36">
        <v>0.84</v>
      </c>
      <c r="F24" s="36">
        <v>0.74</v>
      </c>
    </row>
    <row r="25" ht="15.75" customHeight="1">
      <c r="B25" s="36">
        <v>0.78</v>
      </c>
      <c r="C25" s="36">
        <v>0.65</v>
      </c>
      <c r="D25" s="36">
        <v>-0.03</v>
      </c>
      <c r="E25" s="36">
        <v>0.86</v>
      </c>
      <c r="F25" s="36">
        <v>0.68</v>
      </c>
    </row>
    <row r="26" ht="15.75" customHeight="1">
      <c r="B26" s="36">
        <v>0.72</v>
      </c>
      <c r="C26" s="36">
        <v>0.68</v>
      </c>
      <c r="D26" s="36">
        <v>0.53</v>
      </c>
      <c r="E26" s="36">
        <v>0.84</v>
      </c>
      <c r="F26" s="36">
        <v>0.72</v>
      </c>
    </row>
    <row r="27" ht="15.75" customHeight="1">
      <c r="B27" s="36">
        <v>0.72</v>
      </c>
      <c r="C27" s="36">
        <v>0.71</v>
      </c>
      <c r="D27" s="36">
        <v>0.29</v>
      </c>
      <c r="E27" s="36">
        <v>0.87</v>
      </c>
      <c r="F27" s="36">
        <v>0.77</v>
      </c>
    </row>
    <row r="28" ht="15.75" customHeight="1">
      <c r="B28" s="36">
        <v>0.69</v>
      </c>
      <c r="C28" s="36">
        <v>0.73</v>
      </c>
      <c r="D28" s="36">
        <v>0.27</v>
      </c>
      <c r="E28" s="36">
        <v>0.84</v>
      </c>
      <c r="F28" s="36">
        <v>0.71</v>
      </c>
    </row>
    <row r="29" ht="15.75" customHeight="1">
      <c r="B29" s="36">
        <v>0.74</v>
      </c>
      <c r="C29" s="36">
        <v>0.71</v>
      </c>
      <c r="D29" s="36">
        <v>0.73</v>
      </c>
      <c r="E29" s="36">
        <v>0.89</v>
      </c>
      <c r="F29" s="36">
        <v>0.73</v>
      </c>
    </row>
    <row r="30" ht="15.75" customHeight="1">
      <c r="B30" s="36">
        <v>0.79</v>
      </c>
      <c r="C30" s="36">
        <v>0.69</v>
      </c>
      <c r="D30" s="36">
        <v>0.35</v>
      </c>
      <c r="E30" s="36">
        <v>0.88</v>
      </c>
      <c r="F30" s="36">
        <v>0.76</v>
      </c>
    </row>
    <row r="31" ht="15.75" customHeight="1">
      <c r="B31" s="36">
        <v>0.65</v>
      </c>
      <c r="C31" s="36">
        <v>0.59</v>
      </c>
      <c r="D31" s="36">
        <v>0.5</v>
      </c>
      <c r="E31" s="36">
        <v>0.83</v>
      </c>
      <c r="F31" s="36">
        <v>0.57</v>
      </c>
    </row>
    <row r="32" ht="15.75" customHeight="1">
      <c r="B32" s="36">
        <v>0.71</v>
      </c>
      <c r="C32" s="36">
        <v>0.73</v>
      </c>
      <c r="D32" s="36">
        <v>0.42</v>
      </c>
      <c r="E32" s="36">
        <v>0.88</v>
      </c>
      <c r="F32" s="36">
        <v>0.5</v>
      </c>
    </row>
    <row r="33" ht="15.75" customHeight="1">
      <c r="B33" s="36">
        <v>0.91</v>
      </c>
      <c r="C33" s="36">
        <v>0.59</v>
      </c>
      <c r="D33" s="36">
        <v>0.41</v>
      </c>
      <c r="E33" s="36">
        <v>0.84</v>
      </c>
      <c r="F33" s="36">
        <v>0.77</v>
      </c>
    </row>
    <row r="34" ht="15.75" customHeight="1">
      <c r="B34" s="36">
        <v>0.54</v>
      </c>
      <c r="C34" s="36">
        <v>0.67</v>
      </c>
      <c r="D34" s="36">
        <v>0.69</v>
      </c>
      <c r="E34" s="36">
        <v>0.87</v>
      </c>
      <c r="F34" s="36">
        <v>0.65</v>
      </c>
    </row>
    <row r="35" ht="15.75" customHeight="1">
      <c r="B35" s="36">
        <v>0.7</v>
      </c>
      <c r="C35" s="36">
        <v>0.63</v>
      </c>
      <c r="D35" s="36">
        <v>0.87</v>
      </c>
      <c r="E35" s="36">
        <v>0.85</v>
      </c>
      <c r="F35" s="36">
        <v>0.64</v>
      </c>
    </row>
    <row r="36" ht="15.75" customHeight="1">
      <c r="B36" s="36">
        <v>0.7</v>
      </c>
      <c r="C36" s="36">
        <v>0.58</v>
      </c>
      <c r="D36" s="36">
        <v>0.85</v>
      </c>
      <c r="E36" s="36">
        <v>0.8</v>
      </c>
      <c r="F36" s="36">
        <v>0.68</v>
      </c>
    </row>
    <row r="37" ht="15.75" customHeight="1">
      <c r="B37" s="36">
        <v>0.73</v>
      </c>
      <c r="C37" s="36">
        <v>0.67</v>
      </c>
      <c r="D37" s="36">
        <v>0.2</v>
      </c>
      <c r="E37" s="36">
        <v>0.86</v>
      </c>
      <c r="F37" s="36">
        <v>0.76</v>
      </c>
    </row>
    <row r="38" ht="15.75" customHeight="1">
      <c r="B38" s="36">
        <v>0.85</v>
      </c>
      <c r="C38" s="36">
        <v>0.6</v>
      </c>
      <c r="D38" s="36">
        <v>0.12</v>
      </c>
      <c r="E38" s="36">
        <v>0.88</v>
      </c>
      <c r="F38" s="36">
        <v>0.47</v>
      </c>
    </row>
    <row r="39" ht="15.75" customHeight="1">
      <c r="B39" s="36">
        <v>0.72</v>
      </c>
      <c r="C39" s="36">
        <v>0.68</v>
      </c>
      <c r="D39" s="36">
        <v>0.11</v>
      </c>
      <c r="E39" s="36">
        <v>0.93</v>
      </c>
      <c r="F39" s="36">
        <v>0.67</v>
      </c>
    </row>
    <row r="40" ht="15.75" customHeight="1">
      <c r="B40" s="36">
        <v>0.66</v>
      </c>
      <c r="C40" s="36">
        <v>0.47</v>
      </c>
      <c r="D40" s="36">
        <v>0.58</v>
      </c>
      <c r="E40" s="36">
        <v>0.89</v>
      </c>
      <c r="F40" s="36">
        <v>0.73</v>
      </c>
    </row>
    <row r="41" ht="15.75" customHeight="1">
      <c r="B41" s="36">
        <v>0.84</v>
      </c>
      <c r="C41" s="36">
        <v>0.19</v>
      </c>
      <c r="D41" s="36">
        <v>0.22</v>
      </c>
      <c r="E41" s="36">
        <v>0.87</v>
      </c>
      <c r="F41" s="36">
        <v>0.74</v>
      </c>
    </row>
    <row r="42" ht="15.75" customHeight="1">
      <c r="B42" s="36">
        <v>0.77</v>
      </c>
      <c r="C42" s="36">
        <v>0.53</v>
      </c>
      <c r="D42" s="36">
        <v>0.78</v>
      </c>
      <c r="E42" s="36">
        <v>0.87</v>
      </c>
      <c r="F42" s="36">
        <v>0.36</v>
      </c>
    </row>
    <row r="43" ht="15.75" customHeight="1">
      <c r="B43" s="36">
        <v>0.76</v>
      </c>
      <c r="C43" s="36">
        <v>0.68</v>
      </c>
      <c r="D43" s="36">
        <v>0.35</v>
      </c>
      <c r="E43" s="36">
        <v>0.83</v>
      </c>
      <c r="F43" s="36">
        <v>0.69</v>
      </c>
    </row>
    <row r="44" ht="15.75" customHeight="1">
      <c r="B44" s="36">
        <v>0.01</v>
      </c>
      <c r="C44" s="36">
        <v>0.73</v>
      </c>
      <c r="D44" s="36">
        <v>0.65</v>
      </c>
      <c r="E44" s="36">
        <v>0.84</v>
      </c>
      <c r="F44" s="36">
        <v>0.66</v>
      </c>
    </row>
    <row r="45" ht="15.75" customHeight="1">
      <c r="B45" s="36">
        <v>0.61</v>
      </c>
      <c r="C45" s="36">
        <v>0.69</v>
      </c>
      <c r="D45" s="36">
        <v>0.81</v>
      </c>
      <c r="E45" s="36">
        <v>0.87</v>
      </c>
      <c r="F45" s="36">
        <v>0.3</v>
      </c>
    </row>
    <row r="46" ht="15.75" customHeight="1">
      <c r="B46" s="36">
        <v>0.79</v>
      </c>
      <c r="C46" s="36">
        <v>0.71</v>
      </c>
      <c r="D46" s="36">
        <v>0.21</v>
      </c>
      <c r="E46" s="36">
        <v>0.9</v>
      </c>
      <c r="F46" s="36">
        <v>0.72</v>
      </c>
    </row>
    <row r="47" ht="15.75" customHeight="1">
      <c r="B47" s="36">
        <v>0.69</v>
      </c>
      <c r="C47" s="36">
        <v>0.67</v>
      </c>
      <c r="D47" s="36">
        <v>0.32</v>
      </c>
      <c r="E47" s="36">
        <v>0.81</v>
      </c>
      <c r="F47" s="36">
        <v>0.53</v>
      </c>
    </row>
    <row r="48" ht="15.75" customHeight="1">
      <c r="B48" s="36">
        <v>0.67</v>
      </c>
      <c r="C48" s="36">
        <v>0.56</v>
      </c>
      <c r="D48" s="36">
        <v>0.25</v>
      </c>
      <c r="E48" s="36">
        <v>0.88</v>
      </c>
      <c r="F48" s="36">
        <v>0.76</v>
      </c>
    </row>
    <row r="49" ht="15.75" customHeight="1">
      <c r="B49" s="36">
        <v>0.39</v>
      </c>
      <c r="C49" s="36">
        <v>0.69</v>
      </c>
      <c r="D49" s="36">
        <v>0.0</v>
      </c>
      <c r="E49" s="36">
        <v>0.91</v>
      </c>
      <c r="F49" s="36">
        <v>0.69</v>
      </c>
    </row>
    <row r="50" ht="15.75" customHeight="1">
      <c r="B50" s="36">
        <v>0.78</v>
      </c>
      <c r="C50" s="36">
        <v>0.72</v>
      </c>
      <c r="D50" s="36">
        <v>0.87</v>
      </c>
      <c r="E50" s="36">
        <v>0.89</v>
      </c>
      <c r="F50" s="36">
        <v>0.22</v>
      </c>
    </row>
    <row r="51" ht="15.75" customHeight="1">
      <c r="B51" s="36">
        <v>0.82</v>
      </c>
      <c r="C51" s="36">
        <v>0.69</v>
      </c>
      <c r="D51" s="36">
        <v>0.33</v>
      </c>
      <c r="E51" s="36">
        <v>0.88</v>
      </c>
      <c r="F51" s="36">
        <v>0.63</v>
      </c>
    </row>
    <row r="52" ht="15.75" customHeight="1">
      <c r="B52" s="36">
        <v>0.72</v>
      </c>
      <c r="C52" s="36">
        <v>0.62</v>
      </c>
      <c r="D52" s="36">
        <v>0.41</v>
      </c>
      <c r="E52" s="36">
        <v>0.87</v>
      </c>
      <c r="F52" s="36">
        <v>0.62</v>
      </c>
    </row>
    <row r="53" ht="15.75" customHeight="1">
      <c r="B53" s="36">
        <v>0.71</v>
      </c>
      <c r="C53" s="36">
        <v>0.58</v>
      </c>
      <c r="D53" s="36">
        <v>0.04</v>
      </c>
      <c r="E53" s="36">
        <v>0.86</v>
      </c>
      <c r="F53" s="36">
        <v>0.79</v>
      </c>
    </row>
    <row r="54" ht="15.75" customHeight="1">
      <c r="B54" s="36">
        <v>0.85</v>
      </c>
      <c r="C54" s="36">
        <v>0.65</v>
      </c>
      <c r="D54" s="36">
        <v>0.56</v>
      </c>
      <c r="E54" s="36">
        <v>0.81</v>
      </c>
      <c r="F54" s="36">
        <v>0.61</v>
      </c>
    </row>
    <row r="55" ht="15.75" customHeight="1">
      <c r="B55" s="36">
        <v>0.69</v>
      </c>
      <c r="C55" s="36">
        <v>0.6</v>
      </c>
      <c r="D55" s="36">
        <v>0.1</v>
      </c>
      <c r="E55" s="36">
        <v>0.89</v>
      </c>
      <c r="F55" s="36">
        <v>0.71</v>
      </c>
    </row>
    <row r="56" ht="15.75" customHeight="1">
      <c r="B56" s="36">
        <v>0.72</v>
      </c>
      <c r="C56" s="36">
        <v>0.63</v>
      </c>
      <c r="D56" s="36">
        <v>0.17</v>
      </c>
      <c r="E56" s="36">
        <v>0.89</v>
      </c>
      <c r="F56" s="36">
        <v>0.75</v>
      </c>
    </row>
    <row r="57" ht="15.75" customHeight="1">
      <c r="B57" s="36">
        <v>0.71</v>
      </c>
      <c r="C57" s="36">
        <v>0.63</v>
      </c>
      <c r="D57" s="36">
        <v>0.12</v>
      </c>
      <c r="E57" s="36">
        <v>0.89</v>
      </c>
      <c r="F57" s="36">
        <v>0.68</v>
      </c>
    </row>
    <row r="58" ht="15.75" customHeight="1">
      <c r="B58" s="36">
        <v>0.7</v>
      </c>
      <c r="C58" s="36">
        <v>0.73</v>
      </c>
      <c r="D58" s="36">
        <v>0.2</v>
      </c>
      <c r="E58" s="36">
        <v>0.85</v>
      </c>
      <c r="F58" s="36">
        <v>0.71</v>
      </c>
    </row>
    <row r="59" ht="15.75" customHeight="1">
      <c r="B59" s="36">
        <v>0.88</v>
      </c>
      <c r="C59" s="36">
        <v>0.67</v>
      </c>
      <c r="D59" s="36">
        <v>0.4</v>
      </c>
      <c r="E59" s="36">
        <v>0.89</v>
      </c>
      <c r="F59" s="36">
        <v>0.82</v>
      </c>
    </row>
    <row r="60" ht="15.75" customHeight="1">
      <c r="B60" s="36">
        <v>0.72</v>
      </c>
      <c r="C60" s="36">
        <v>0.84</v>
      </c>
      <c r="D60" s="36">
        <v>0.15</v>
      </c>
      <c r="E60" s="36">
        <v>0.79</v>
      </c>
      <c r="F60" s="36">
        <v>0.75</v>
      </c>
    </row>
    <row r="61" ht="15.75" customHeight="1">
      <c r="B61" s="36">
        <v>0.59</v>
      </c>
      <c r="C61" s="36">
        <v>0.68</v>
      </c>
      <c r="D61" s="36">
        <v>0.55</v>
      </c>
      <c r="E61" s="36">
        <v>0.93</v>
      </c>
      <c r="F61" s="36">
        <v>0.56</v>
      </c>
    </row>
    <row r="62" ht="15.75" customHeight="1">
      <c r="B62" s="36">
        <v>0.84</v>
      </c>
      <c r="C62" s="36">
        <v>0.69</v>
      </c>
      <c r="D62" s="36">
        <v>0.45</v>
      </c>
      <c r="E62" s="36">
        <v>0.86</v>
      </c>
      <c r="F62" s="36">
        <v>0.6</v>
      </c>
    </row>
    <row r="63" ht="15.75" customHeight="1">
      <c r="B63" s="36">
        <v>0.75</v>
      </c>
      <c r="C63" s="36">
        <v>0.52</v>
      </c>
      <c r="D63" s="36">
        <v>0.73</v>
      </c>
      <c r="E63" s="36">
        <v>0.83</v>
      </c>
      <c r="F63" s="36">
        <v>0.66</v>
      </c>
    </row>
    <row r="64" ht="15.75" customHeight="1">
      <c r="B64" s="36">
        <v>0.53</v>
      </c>
      <c r="C64" s="36">
        <v>0.21</v>
      </c>
      <c r="D64" s="36">
        <v>0.18</v>
      </c>
      <c r="E64" s="36">
        <v>0.88</v>
      </c>
      <c r="F64" s="36">
        <v>0.54</v>
      </c>
    </row>
    <row r="65" ht="15.75" customHeight="1">
      <c r="B65" s="36">
        <v>0.77</v>
      </c>
      <c r="C65" s="36">
        <v>0.38</v>
      </c>
      <c r="D65" s="36">
        <v>0.53</v>
      </c>
      <c r="E65" s="36">
        <v>0.9</v>
      </c>
      <c r="F65" s="36">
        <v>0.73</v>
      </c>
    </row>
    <row r="66" ht="15.75" customHeight="1">
      <c r="B66" s="36">
        <v>0.73</v>
      </c>
      <c r="C66" s="36">
        <v>0.3</v>
      </c>
      <c r="D66" s="36">
        <v>0.55</v>
      </c>
      <c r="E66" s="36">
        <v>0.85</v>
      </c>
      <c r="F66" s="36">
        <v>0.68</v>
      </c>
    </row>
    <row r="67" ht="15.75" customHeight="1">
      <c r="B67" s="36">
        <v>0.75</v>
      </c>
      <c r="C67" s="36">
        <v>0.48</v>
      </c>
      <c r="D67" s="36">
        <v>0.35</v>
      </c>
      <c r="E67" s="36">
        <v>0.89</v>
      </c>
      <c r="F67" s="36">
        <v>0.65</v>
      </c>
    </row>
    <row r="68" ht="15.75" customHeight="1">
      <c r="B68" s="36">
        <v>0.81</v>
      </c>
      <c r="C68" s="36">
        <v>0.68</v>
      </c>
      <c r="D68" s="36">
        <v>0.13</v>
      </c>
      <c r="E68" s="36">
        <v>0.89</v>
      </c>
      <c r="F68" s="36">
        <v>0.42</v>
      </c>
    </row>
    <row r="69" ht="15.75" customHeight="1">
      <c r="B69" s="36">
        <v>0.84</v>
      </c>
      <c r="C69" s="36">
        <v>0.71</v>
      </c>
      <c r="D69" s="36">
        <v>0.39</v>
      </c>
      <c r="E69" s="36">
        <v>0.87</v>
      </c>
      <c r="F69" s="36">
        <v>0.68</v>
      </c>
    </row>
    <row r="70" ht="15.75" customHeight="1">
      <c r="B70" s="36">
        <v>0.73</v>
      </c>
      <c r="C70" s="36">
        <v>0.69</v>
      </c>
      <c r="D70" s="36">
        <v>0.43</v>
      </c>
      <c r="E70" s="36">
        <v>0.9</v>
      </c>
      <c r="F70" s="36">
        <v>0.67</v>
      </c>
    </row>
    <row r="71" ht="15.75" customHeight="1">
      <c r="B71" s="36">
        <v>0.86</v>
      </c>
      <c r="C71" s="36">
        <v>0.71</v>
      </c>
      <c r="D71" s="36">
        <v>0.4</v>
      </c>
      <c r="E71" s="36">
        <v>0.82</v>
      </c>
      <c r="F71" s="36">
        <v>0.62</v>
      </c>
    </row>
    <row r="72" ht="15.75" customHeight="1">
      <c r="B72" s="36">
        <v>0.73</v>
      </c>
      <c r="C72" s="36">
        <v>0.62</v>
      </c>
      <c r="D72" s="36">
        <v>0.4</v>
      </c>
      <c r="E72" s="36">
        <v>0.81</v>
      </c>
      <c r="F72" s="36">
        <v>0.47</v>
      </c>
    </row>
    <row r="73" ht="15.75" customHeight="1">
      <c r="B73" s="36">
        <v>0.61</v>
      </c>
      <c r="C73" s="36">
        <v>0.66</v>
      </c>
      <c r="D73" s="36">
        <v>0.27</v>
      </c>
      <c r="E73" s="36">
        <v>0.9</v>
      </c>
      <c r="F73" s="36">
        <v>0.58</v>
      </c>
    </row>
    <row r="74" ht="15.75" customHeight="1">
      <c r="B74" s="36">
        <v>0.63</v>
      </c>
      <c r="C74" s="36">
        <v>0.7</v>
      </c>
      <c r="D74" s="36">
        <v>0.68</v>
      </c>
      <c r="E74" s="36">
        <v>0.82</v>
      </c>
      <c r="F74" s="36">
        <v>0.69</v>
      </c>
    </row>
    <row r="75" ht="15.75" customHeight="1">
      <c r="B75" s="36">
        <v>0.65</v>
      </c>
      <c r="C75" s="36">
        <v>0.57</v>
      </c>
      <c r="D75" s="36">
        <v>0.27</v>
      </c>
      <c r="E75" s="36">
        <v>0.81</v>
      </c>
      <c r="F75" s="36">
        <v>0.4</v>
      </c>
    </row>
    <row r="76" ht="15.75" customHeight="1">
      <c r="B76" s="36">
        <v>0.8</v>
      </c>
      <c r="C76" s="36">
        <v>0.69</v>
      </c>
      <c r="D76" s="36">
        <v>0.43</v>
      </c>
      <c r="E76" s="36">
        <v>0.9</v>
      </c>
      <c r="F76" s="36">
        <v>0.69</v>
      </c>
    </row>
    <row r="77" ht="15.75" customHeight="1">
      <c r="B77" s="36">
        <v>0.7</v>
      </c>
      <c r="C77" s="36">
        <v>0.73</v>
      </c>
      <c r="D77" s="36">
        <v>0.37</v>
      </c>
      <c r="E77" s="36">
        <v>0.85</v>
      </c>
      <c r="F77" s="36">
        <v>0.75</v>
      </c>
    </row>
    <row r="78" ht="15.75" customHeight="1">
      <c r="B78" s="36">
        <v>0.74</v>
      </c>
      <c r="C78" s="36">
        <v>0.61</v>
      </c>
      <c r="D78" s="36">
        <v>0.29</v>
      </c>
      <c r="E78" s="36">
        <v>0.81</v>
      </c>
      <c r="F78" s="36">
        <v>0.19</v>
      </c>
    </row>
    <row r="79" ht="15.75" customHeight="1">
      <c r="B79" s="36">
        <v>0.82</v>
      </c>
      <c r="C79" s="36">
        <v>0.63</v>
      </c>
      <c r="D79" s="36">
        <v>0.48</v>
      </c>
      <c r="E79" s="36">
        <v>0.96</v>
      </c>
      <c r="F79" s="36">
        <v>0.64</v>
      </c>
    </row>
    <row r="80" ht="15.75" customHeight="1">
      <c r="B80" s="36">
        <v>0.51</v>
      </c>
      <c r="C80" s="36">
        <v>0.26</v>
      </c>
      <c r="D80" s="36">
        <v>0.62</v>
      </c>
      <c r="E80" s="36">
        <v>0.86</v>
      </c>
      <c r="F80" s="36">
        <v>0.72</v>
      </c>
    </row>
    <row r="81" ht="15.75" customHeight="1">
      <c r="B81" s="36">
        <v>0.49</v>
      </c>
      <c r="C81" s="36">
        <v>0.71</v>
      </c>
      <c r="D81" s="36">
        <v>0.55</v>
      </c>
      <c r="E81" s="36">
        <v>0.9</v>
      </c>
      <c r="F81" s="36">
        <v>0.56</v>
      </c>
    </row>
    <row r="82" ht="15.75" customHeight="1">
      <c r="B82" s="36">
        <v>0.8</v>
      </c>
      <c r="C82" s="36">
        <v>0.67</v>
      </c>
      <c r="D82" s="36">
        <v>0.24</v>
      </c>
      <c r="E82" s="36">
        <v>0.91</v>
      </c>
      <c r="F82" s="36">
        <v>0.55</v>
      </c>
    </row>
    <row r="83" ht="15.75" customHeight="1">
      <c r="B83" s="36">
        <v>0.75</v>
      </c>
      <c r="C83" s="36">
        <v>0.76</v>
      </c>
      <c r="D83" s="36">
        <v>0.18</v>
      </c>
      <c r="E83" s="36">
        <v>0.76</v>
      </c>
      <c r="F83" s="36">
        <v>0.76</v>
      </c>
    </row>
    <row r="84" ht="15.75" customHeight="1">
      <c r="B84" s="36">
        <v>0.36</v>
      </c>
      <c r="C84" s="36">
        <v>0.56</v>
      </c>
      <c r="D84" s="36">
        <v>0.09</v>
      </c>
      <c r="E84" s="36">
        <v>0.91</v>
      </c>
      <c r="F84" s="36">
        <v>0.72</v>
      </c>
    </row>
    <row r="85" ht="15.75" customHeight="1">
      <c r="B85" s="36">
        <v>0.66</v>
      </c>
      <c r="C85" s="36">
        <v>0.7</v>
      </c>
      <c r="D85" s="36">
        <v>0.66</v>
      </c>
      <c r="E85" s="36">
        <v>0.93</v>
      </c>
      <c r="F85" s="36">
        <v>0.58</v>
      </c>
    </row>
    <row r="86" ht="15.75" customHeight="1">
      <c r="B86" s="36">
        <v>0.8</v>
      </c>
      <c r="C86" s="36">
        <v>0.81</v>
      </c>
      <c r="D86" s="36">
        <v>0.17</v>
      </c>
      <c r="E86" s="36">
        <v>0.88</v>
      </c>
      <c r="F86" s="36">
        <v>0.64</v>
      </c>
    </row>
    <row r="87" ht="15.75" customHeight="1">
      <c r="B87" s="36">
        <v>0.4</v>
      </c>
      <c r="C87" s="36">
        <v>0.69</v>
      </c>
      <c r="D87" s="36">
        <v>0.13</v>
      </c>
      <c r="E87" s="36">
        <v>0.91</v>
      </c>
      <c r="F87" s="36">
        <v>0.35</v>
      </c>
    </row>
    <row r="88" ht="15.75" customHeight="1">
      <c r="B88" s="36">
        <v>0.79</v>
      </c>
      <c r="C88" s="36">
        <v>0.67</v>
      </c>
      <c r="D88" s="36">
        <v>0.47</v>
      </c>
      <c r="E88" s="36">
        <v>0.87</v>
      </c>
      <c r="F88" s="36">
        <v>0.64</v>
      </c>
    </row>
    <row r="89" ht="15.75" customHeight="1">
      <c r="B89" s="36">
        <v>0.78</v>
      </c>
      <c r="C89" s="36">
        <v>0.73</v>
      </c>
      <c r="D89" s="36">
        <v>0.73</v>
      </c>
      <c r="E89" s="36">
        <v>0.9</v>
      </c>
      <c r="F89" s="36">
        <v>0.56</v>
      </c>
    </row>
    <row r="90" ht="15.75" customHeight="1">
      <c r="B90" s="36">
        <v>0.4</v>
      </c>
      <c r="C90" s="36">
        <v>0.77</v>
      </c>
      <c r="D90" s="36">
        <v>0.17</v>
      </c>
      <c r="E90" s="36">
        <v>0.86</v>
      </c>
      <c r="F90" s="36">
        <v>0.77</v>
      </c>
    </row>
    <row r="91" ht="15.75" customHeight="1">
      <c r="B91" s="36">
        <v>-0.07</v>
      </c>
      <c r="C91" s="36">
        <v>0.78</v>
      </c>
      <c r="D91" s="36">
        <v>0.67</v>
      </c>
      <c r="E91" s="36">
        <v>0.89</v>
      </c>
      <c r="F91" s="36">
        <v>0.7</v>
      </c>
    </row>
    <row r="92" ht="15.75" customHeight="1">
      <c r="B92" s="36">
        <v>0.69</v>
      </c>
      <c r="C92" s="36">
        <v>0.61</v>
      </c>
      <c r="D92" s="36">
        <v>0.4</v>
      </c>
      <c r="E92" s="36">
        <v>0.85</v>
      </c>
      <c r="F92" s="36">
        <v>0.79</v>
      </c>
    </row>
    <row r="93" ht="15.75" customHeight="1">
      <c r="B93" s="36">
        <v>0.79</v>
      </c>
      <c r="C93" s="36">
        <v>0.76</v>
      </c>
      <c r="D93" s="36">
        <v>0.66</v>
      </c>
      <c r="E93" s="36">
        <v>0.85</v>
      </c>
      <c r="F93" s="36">
        <v>0.65</v>
      </c>
    </row>
    <row r="94" ht="15.75" customHeight="1">
      <c r="B94" s="36">
        <v>0.51</v>
      </c>
      <c r="C94" s="36">
        <v>0.72</v>
      </c>
      <c r="D94" s="36">
        <v>0.18</v>
      </c>
      <c r="E94" s="36">
        <v>0.8</v>
      </c>
      <c r="F94" s="36">
        <v>0.7</v>
      </c>
    </row>
    <row r="95" ht="15.75" customHeight="1">
      <c r="B95" s="36">
        <v>0.8</v>
      </c>
      <c r="C95" s="36">
        <v>0.72</v>
      </c>
      <c r="D95" s="36">
        <v>0.06</v>
      </c>
      <c r="E95" s="36">
        <v>0.8</v>
      </c>
      <c r="F95" s="36">
        <v>0.7</v>
      </c>
    </row>
    <row r="96" ht="15.75" customHeight="1">
      <c r="B96" s="36">
        <v>0.64</v>
      </c>
      <c r="C96" s="36">
        <v>0.59</v>
      </c>
      <c r="D96" s="36">
        <v>0.37</v>
      </c>
      <c r="E96" s="36">
        <v>0.86</v>
      </c>
      <c r="F96" s="36">
        <v>0.67</v>
      </c>
    </row>
    <row r="97" ht="15.75" customHeight="1">
      <c r="B97" s="36">
        <v>0.77</v>
      </c>
      <c r="C97" s="36">
        <v>0.6</v>
      </c>
      <c r="D97" s="36">
        <v>0.47</v>
      </c>
      <c r="E97" s="36">
        <v>0.87</v>
      </c>
      <c r="F97" s="36">
        <v>0.49</v>
      </c>
    </row>
    <row r="98" ht="15.75" customHeight="1">
      <c r="B98" s="36">
        <v>0.62</v>
      </c>
      <c r="C98" s="36">
        <v>0.77</v>
      </c>
      <c r="D98" s="36">
        <v>0.28</v>
      </c>
      <c r="E98" s="36">
        <v>0.87</v>
      </c>
      <c r="F98" s="36">
        <v>0.68</v>
      </c>
    </row>
    <row r="99" ht="15.75" customHeight="1">
      <c r="B99" s="36">
        <v>0.77</v>
      </c>
      <c r="C99" s="36">
        <v>0.6</v>
      </c>
      <c r="D99" s="36">
        <v>0.23</v>
      </c>
      <c r="E99" s="36">
        <v>0.9</v>
      </c>
      <c r="F99" s="36">
        <v>0.46</v>
      </c>
    </row>
    <row r="100" ht="15.75" customHeight="1">
      <c r="B100" s="36">
        <v>0.66</v>
      </c>
      <c r="C100" s="36">
        <v>0.57</v>
      </c>
      <c r="D100" s="36">
        <v>0.32</v>
      </c>
      <c r="E100" s="36">
        <v>0.84</v>
      </c>
      <c r="F100" s="36">
        <v>0.56</v>
      </c>
    </row>
    <row r="101" ht="15.75" customHeight="1">
      <c r="B101" s="36">
        <v>0.61</v>
      </c>
      <c r="C101" s="36">
        <v>0.75</v>
      </c>
      <c r="D101" s="36">
        <v>0.11</v>
      </c>
      <c r="E101" s="36">
        <v>0.8</v>
      </c>
      <c r="F101" s="36">
        <v>0.69</v>
      </c>
    </row>
    <row r="102" ht="15.75" customHeight="1">
      <c r="B102" s="36">
        <v>0.69</v>
      </c>
      <c r="C102" s="36">
        <v>0.75</v>
      </c>
      <c r="D102" s="36">
        <v>0.66</v>
      </c>
      <c r="E102" s="36">
        <v>0.81</v>
      </c>
      <c r="F102" s="36">
        <v>0.63</v>
      </c>
    </row>
    <row r="103" ht="15.75" customHeight="1">
      <c r="B103" s="37">
        <v>0.63</v>
      </c>
      <c r="C103" s="37">
        <v>0.86</v>
      </c>
      <c r="D103" s="37">
        <v>0.43</v>
      </c>
      <c r="E103" s="37">
        <v>0.88</v>
      </c>
      <c r="F103" s="37">
        <v>0.59</v>
      </c>
    </row>
    <row r="104" ht="15.75" customHeight="1"/>
    <row r="105" ht="15.75" customHeight="1"/>
    <row r="106" ht="15.75" customHeight="1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 ht="15.75" customHeight="1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 ht="15.75" customHeight="1">
      <c r="B108" s="40" t="s">
        <v>7</v>
      </c>
      <c r="C108" s="41">
        <v>0.6751</v>
      </c>
      <c r="D108" s="41">
        <v>0.1797</v>
      </c>
      <c r="E108" s="41">
        <v>0.72</v>
      </c>
      <c r="F108" s="41">
        <v>0.6399</v>
      </c>
      <c r="G108" s="41">
        <v>0.7103</v>
      </c>
      <c r="H108" s="42">
        <v>-0.07</v>
      </c>
      <c r="I108" s="42">
        <v>0.91</v>
      </c>
      <c r="J108" s="43">
        <v>26.6</v>
      </c>
    </row>
    <row r="109" ht="15.75" customHeight="1">
      <c r="B109" s="40" t="s">
        <v>12</v>
      </c>
      <c r="C109" s="41">
        <v>0.6478</v>
      </c>
      <c r="D109" s="41">
        <v>0.1168</v>
      </c>
      <c r="E109" s="41">
        <v>0.68</v>
      </c>
      <c r="F109" s="41">
        <v>0.6249</v>
      </c>
      <c r="G109" s="41">
        <v>0.6707</v>
      </c>
      <c r="H109" s="42">
        <v>0.19</v>
      </c>
      <c r="I109" s="42">
        <v>0.86</v>
      </c>
      <c r="J109" s="43">
        <v>18.0</v>
      </c>
    </row>
    <row r="110" ht="15.75" customHeight="1">
      <c r="B110" s="40" t="s">
        <v>9</v>
      </c>
      <c r="C110" s="41">
        <v>0.3741</v>
      </c>
      <c r="D110" s="41">
        <v>0.227</v>
      </c>
      <c r="E110" s="41">
        <v>0.37</v>
      </c>
      <c r="F110" s="41">
        <v>0.3296</v>
      </c>
      <c r="G110" s="41">
        <v>0.4186</v>
      </c>
      <c r="H110" s="42">
        <v>-0.03</v>
      </c>
      <c r="I110" s="42">
        <v>0.87</v>
      </c>
      <c r="J110" s="43">
        <v>60.7</v>
      </c>
    </row>
    <row r="111" ht="15.75" customHeight="1">
      <c r="B111" s="40" t="s">
        <v>11</v>
      </c>
      <c r="C111" s="41">
        <v>0.8603</v>
      </c>
      <c r="D111" s="41">
        <v>0.0409</v>
      </c>
      <c r="E111" s="41">
        <v>0.87</v>
      </c>
      <c r="F111" s="41">
        <v>0.8523</v>
      </c>
      <c r="G111" s="41">
        <v>0.8683</v>
      </c>
      <c r="H111" s="42">
        <v>0.75</v>
      </c>
      <c r="I111" s="42">
        <v>0.96</v>
      </c>
      <c r="J111" s="43">
        <v>4.8</v>
      </c>
    </row>
    <row r="112" ht="15.75" customHeight="1">
      <c r="B112" s="44" t="s">
        <v>10</v>
      </c>
      <c r="C112" s="45">
        <v>0.6408</v>
      </c>
      <c r="D112" s="45">
        <v>0.1245</v>
      </c>
      <c r="E112" s="45">
        <v>0.68</v>
      </c>
      <c r="F112" s="45">
        <v>0.6164</v>
      </c>
      <c r="G112" s="45">
        <v>0.6652</v>
      </c>
      <c r="H112" s="46">
        <v>0.19</v>
      </c>
      <c r="I112" s="47">
        <v>0.82</v>
      </c>
      <c r="J112" s="48">
        <v>19.4</v>
      </c>
    </row>
    <row r="113" ht="15.75" customHeight="1">
      <c r="B113" s="40"/>
      <c r="C113" s="41"/>
      <c r="D113" s="41"/>
      <c r="E113" s="41"/>
      <c r="F113" s="41"/>
      <c r="G113" s="41"/>
      <c r="H113" s="42"/>
      <c r="I113" s="42"/>
      <c r="J113" s="43"/>
    </row>
    <row r="114" ht="15.75" customHeight="1">
      <c r="B114" s="49"/>
      <c r="C114" s="49"/>
      <c r="D114" s="49"/>
      <c r="E114" s="49"/>
      <c r="F114" s="49"/>
      <c r="G114" s="49"/>
      <c r="H114" s="49"/>
      <c r="I114" s="49"/>
      <c r="J114" s="49"/>
    </row>
    <row r="115" ht="15.75" customHeight="1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 ht="15.75" customHeight="1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 ht="15.75" customHeight="1">
      <c r="B117" s="45">
        <v>27.5074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 ht="15.75" customHeight="1">
      <c r="B118" s="41"/>
      <c r="C118" s="42"/>
      <c r="D118" s="52"/>
      <c r="E118" s="49"/>
      <c r="F118" s="49"/>
      <c r="G118" s="49"/>
      <c r="H118" s="49"/>
      <c r="I118" s="49"/>
      <c r="J118" s="49"/>
    </row>
    <row r="119" ht="15.75" customHeight="1">
      <c r="B119" s="49"/>
      <c r="C119" s="49"/>
      <c r="D119" s="49"/>
      <c r="E119" s="49"/>
      <c r="F119" s="49"/>
      <c r="G119" s="49"/>
      <c r="H119" s="49"/>
      <c r="I119" s="49"/>
      <c r="J119" s="49"/>
    </row>
    <row r="120" ht="15.75" customHeight="1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 ht="15.75" customHeight="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 ht="15.75" customHeight="1">
      <c r="B122" s="47">
        <v>235.3916</v>
      </c>
      <c r="C122" s="47">
        <v>4.0</v>
      </c>
      <c r="D122" s="47">
        <v>9.0</v>
      </c>
      <c r="E122" s="50" t="s">
        <v>35</v>
      </c>
      <c r="F122" s="51" t="s">
        <v>41</v>
      </c>
      <c r="G122" s="49"/>
      <c r="H122" s="49"/>
      <c r="I122" s="49"/>
      <c r="J122" s="49"/>
    </row>
    <row r="123" ht="15.75" customHeight="1">
      <c r="B123" s="42"/>
      <c r="C123" s="42"/>
      <c r="D123" s="42"/>
      <c r="E123" s="42"/>
      <c r="F123" s="52"/>
      <c r="G123" s="49"/>
      <c r="H123" s="49"/>
      <c r="I123" s="49"/>
      <c r="J123" s="49"/>
    </row>
    <row r="124" ht="15.75" customHeight="1">
      <c r="B124" s="49"/>
      <c r="C124" s="49"/>
      <c r="D124" s="49"/>
      <c r="E124" s="49"/>
      <c r="F124" s="49"/>
      <c r="G124" s="49"/>
      <c r="H124" s="49"/>
      <c r="I124" s="49"/>
      <c r="J124" s="49"/>
    </row>
    <row r="125" ht="15.75" customHeight="1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 ht="15.75" customHeight="1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 ht="15.75" customHeight="1">
      <c r="B127" s="40" t="s">
        <v>7</v>
      </c>
      <c r="C127" s="40" t="s">
        <v>12</v>
      </c>
      <c r="D127" s="41">
        <v>0.0273</v>
      </c>
      <c r="E127" s="41">
        <v>0.0214</v>
      </c>
      <c r="F127" s="41">
        <v>-0.015</v>
      </c>
      <c r="G127" s="41">
        <v>0.0696</v>
      </c>
      <c r="H127" s="53">
        <v>0.2045</v>
      </c>
      <c r="I127" s="52" t="s">
        <v>49</v>
      </c>
      <c r="J127" s="49"/>
    </row>
    <row r="128" ht="15.75" customHeight="1">
      <c r="B128" s="40" t="s">
        <v>7</v>
      </c>
      <c r="C128" s="40" t="s">
        <v>9</v>
      </c>
      <c r="D128" s="41">
        <v>0.301</v>
      </c>
      <c r="E128" s="41">
        <v>0.029</v>
      </c>
      <c r="F128" s="41">
        <v>0.2439</v>
      </c>
      <c r="G128" s="41">
        <v>0.3581</v>
      </c>
      <c r="H128" s="53" t="s">
        <v>35</v>
      </c>
      <c r="I128" s="52" t="s">
        <v>48</v>
      </c>
      <c r="J128" s="49"/>
    </row>
    <row r="129" ht="15.75" customHeight="1">
      <c r="B129" s="40" t="s">
        <v>7</v>
      </c>
      <c r="C129" s="40" t="s">
        <v>11</v>
      </c>
      <c r="D129" s="41">
        <v>-0.1852</v>
      </c>
      <c r="E129" s="41">
        <v>0.0184</v>
      </c>
      <c r="F129" s="41">
        <v>-0.2217</v>
      </c>
      <c r="G129" s="41">
        <v>-0.1487</v>
      </c>
      <c r="H129" s="53" t="s">
        <v>35</v>
      </c>
      <c r="I129" s="52" t="s">
        <v>48</v>
      </c>
      <c r="J129" s="49"/>
    </row>
    <row r="130" ht="15.75" customHeight="1">
      <c r="B130" s="40" t="s">
        <v>7</v>
      </c>
      <c r="C130" s="40" t="s">
        <v>10</v>
      </c>
      <c r="D130" s="41">
        <v>0.0343</v>
      </c>
      <c r="E130" s="41">
        <v>0.0219</v>
      </c>
      <c r="F130" s="41">
        <v>-0.0088</v>
      </c>
      <c r="G130" s="41">
        <v>0.0774</v>
      </c>
      <c r="H130" s="53">
        <v>0.1185</v>
      </c>
      <c r="I130" s="52" t="s">
        <v>49</v>
      </c>
      <c r="J130" s="49"/>
    </row>
    <row r="131" ht="15.75" customHeight="1">
      <c r="B131" s="40" t="s">
        <v>12</v>
      </c>
      <c r="C131" s="40" t="s">
        <v>9</v>
      </c>
      <c r="D131" s="41">
        <v>0.2737</v>
      </c>
      <c r="E131" s="41">
        <v>0.0255</v>
      </c>
      <c r="F131" s="41">
        <v>0.2232</v>
      </c>
      <c r="G131" s="41">
        <v>0.3242</v>
      </c>
      <c r="H131" s="53" t="s">
        <v>35</v>
      </c>
      <c r="I131" s="52" t="s">
        <v>48</v>
      </c>
      <c r="J131" s="49"/>
    </row>
    <row r="132" ht="15.75" customHeight="1">
      <c r="B132" s="40" t="s">
        <v>12</v>
      </c>
      <c r="C132" s="40" t="s">
        <v>11</v>
      </c>
      <c r="D132" s="41">
        <v>-0.2125</v>
      </c>
      <c r="E132" s="41">
        <v>0.0124</v>
      </c>
      <c r="F132" s="41">
        <v>-0.237</v>
      </c>
      <c r="G132" s="41">
        <v>-0.188</v>
      </c>
      <c r="H132" s="53" t="s">
        <v>35</v>
      </c>
      <c r="I132" s="52" t="s">
        <v>48</v>
      </c>
      <c r="J132" s="49"/>
    </row>
    <row r="133" ht="15.75" customHeight="1">
      <c r="B133" s="40" t="s">
        <v>12</v>
      </c>
      <c r="C133" s="40" t="s">
        <v>10</v>
      </c>
      <c r="D133" s="41">
        <v>0.007</v>
      </c>
      <c r="E133" s="41">
        <v>0.0171</v>
      </c>
      <c r="F133" s="41">
        <v>-0.0267</v>
      </c>
      <c r="G133" s="41">
        <v>0.0407</v>
      </c>
      <c r="H133" s="53">
        <v>0.6822</v>
      </c>
      <c r="I133" s="52" t="s">
        <v>49</v>
      </c>
      <c r="J133" s="49"/>
    </row>
    <row r="134" ht="15.75" customHeight="1">
      <c r="B134" s="40" t="s">
        <v>9</v>
      </c>
      <c r="C134" s="40" t="s">
        <v>11</v>
      </c>
      <c r="D134" s="41">
        <v>-0.4862</v>
      </c>
      <c r="E134" s="41">
        <v>0.0231</v>
      </c>
      <c r="F134" s="41">
        <v>-0.5319</v>
      </c>
      <c r="G134" s="41">
        <v>-0.4405</v>
      </c>
      <c r="H134" s="53" t="s">
        <v>35</v>
      </c>
      <c r="I134" s="52" t="s">
        <v>48</v>
      </c>
      <c r="J134" s="49"/>
    </row>
    <row r="135" ht="15.75" customHeight="1">
      <c r="B135" s="40" t="s">
        <v>9</v>
      </c>
      <c r="C135" s="40" t="s">
        <v>10</v>
      </c>
      <c r="D135" s="41">
        <v>-0.2667</v>
      </c>
      <c r="E135" s="41">
        <v>0.0259</v>
      </c>
      <c r="F135" s="41">
        <v>-0.3179</v>
      </c>
      <c r="G135" s="41">
        <v>-0.2155</v>
      </c>
      <c r="H135" s="53" t="s">
        <v>35</v>
      </c>
      <c r="I135" s="52" t="s">
        <v>48</v>
      </c>
      <c r="J135" s="49"/>
    </row>
    <row r="136" ht="15.75" customHeight="1">
      <c r="B136" s="44" t="s">
        <v>11</v>
      </c>
      <c r="C136" s="44" t="s">
        <v>10</v>
      </c>
      <c r="D136" s="45">
        <v>0.2195</v>
      </c>
      <c r="E136" s="45">
        <v>0.0131</v>
      </c>
      <c r="F136" s="45">
        <v>0.1936</v>
      </c>
      <c r="G136" s="45">
        <v>0.2454</v>
      </c>
      <c r="H136" s="54" t="s">
        <v>35</v>
      </c>
      <c r="I136" s="51" t="s">
        <v>48</v>
      </c>
      <c r="J136" s="49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5">
    <mergeCell ref="B2:F2"/>
    <mergeCell ref="B106:J106"/>
    <mergeCell ref="B115:D115"/>
    <mergeCell ref="B120:F120"/>
    <mergeCell ref="B125:I1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33" t="s">
        <v>56</v>
      </c>
      <c r="C2" s="34"/>
      <c r="D2" s="34"/>
      <c r="E2" s="34"/>
      <c r="F2" s="34"/>
    </row>
    <row r="3">
      <c r="B3" s="35" t="s">
        <v>8</v>
      </c>
      <c r="C3" s="35" t="s">
        <v>12</v>
      </c>
      <c r="D3" s="35" t="s">
        <v>9</v>
      </c>
      <c r="E3" s="35" t="s">
        <v>11</v>
      </c>
      <c r="F3" s="35" t="s">
        <v>10</v>
      </c>
    </row>
    <row r="4">
      <c r="B4" s="36">
        <v>0.83</v>
      </c>
      <c r="C4" s="36">
        <v>0.73</v>
      </c>
      <c r="D4" s="36">
        <v>0.33</v>
      </c>
      <c r="E4" s="36">
        <v>0.87</v>
      </c>
      <c r="F4" s="36">
        <v>0.59</v>
      </c>
    </row>
    <row r="5">
      <c r="B5" s="36">
        <v>0.78</v>
      </c>
      <c r="C5" s="36">
        <v>0.6</v>
      </c>
      <c r="D5" s="36">
        <v>0.25</v>
      </c>
      <c r="E5" s="36">
        <v>0.86</v>
      </c>
      <c r="F5" s="36">
        <v>0.78</v>
      </c>
    </row>
    <row r="6">
      <c r="B6" s="36">
        <v>0.76</v>
      </c>
      <c r="C6" s="36">
        <v>0.65</v>
      </c>
      <c r="D6" s="36">
        <v>0.53</v>
      </c>
      <c r="E6" s="36">
        <v>0.88</v>
      </c>
      <c r="F6" s="36">
        <v>0.62</v>
      </c>
    </row>
    <row r="7">
      <c r="B7" s="36">
        <v>0.78</v>
      </c>
      <c r="C7" s="36">
        <v>0.64</v>
      </c>
      <c r="D7" s="36">
        <v>0.4</v>
      </c>
      <c r="E7" s="36">
        <v>0.88</v>
      </c>
      <c r="F7" s="36">
        <v>0.65</v>
      </c>
    </row>
    <row r="8">
      <c r="B8" s="36">
        <v>0.75</v>
      </c>
      <c r="C8" s="36">
        <v>0.56</v>
      </c>
      <c r="D8" s="36">
        <v>0.48</v>
      </c>
      <c r="E8" s="36">
        <v>0.87</v>
      </c>
      <c r="F8" s="36">
        <v>0.73</v>
      </c>
    </row>
    <row r="9">
      <c r="B9" s="36">
        <v>0.81</v>
      </c>
      <c r="C9" s="36">
        <v>0.77</v>
      </c>
      <c r="D9" s="36">
        <v>0.61</v>
      </c>
      <c r="E9" s="36">
        <v>0.87</v>
      </c>
      <c r="F9" s="36">
        <v>0.56</v>
      </c>
    </row>
    <row r="10">
      <c r="B10" s="36">
        <v>0.78</v>
      </c>
      <c r="C10" s="36">
        <v>0.72</v>
      </c>
      <c r="D10" s="36">
        <v>0.73</v>
      </c>
      <c r="E10" s="36">
        <v>0.84</v>
      </c>
      <c r="F10" s="36">
        <v>0.72</v>
      </c>
    </row>
    <row r="11">
      <c r="B11" s="36">
        <v>0.79</v>
      </c>
      <c r="C11" s="36">
        <v>0.71</v>
      </c>
      <c r="D11" s="36">
        <v>0.01</v>
      </c>
      <c r="E11" s="36">
        <v>0.89</v>
      </c>
      <c r="F11" s="36">
        <v>0.74</v>
      </c>
    </row>
    <row r="12">
      <c r="B12" s="36">
        <v>0.78</v>
      </c>
      <c r="C12" s="36">
        <v>0.28</v>
      </c>
      <c r="D12" s="36">
        <v>0.3</v>
      </c>
      <c r="E12" s="36">
        <v>0.91</v>
      </c>
      <c r="F12" s="36">
        <v>0.65</v>
      </c>
    </row>
    <row r="13">
      <c r="B13" s="36">
        <v>0.78</v>
      </c>
      <c r="C13" s="36">
        <v>0.69</v>
      </c>
      <c r="D13" s="36">
        <v>0.24</v>
      </c>
      <c r="E13" s="36">
        <v>0.87</v>
      </c>
      <c r="F13" s="36">
        <v>0.55</v>
      </c>
    </row>
    <row r="14">
      <c r="B14" s="36">
        <v>0.75</v>
      </c>
      <c r="C14" s="36">
        <v>0.52</v>
      </c>
      <c r="D14" s="36">
        <v>0.63</v>
      </c>
      <c r="E14" s="36">
        <v>0.92</v>
      </c>
      <c r="F14" s="36">
        <v>0.77</v>
      </c>
    </row>
    <row r="15">
      <c r="B15" s="36">
        <v>0.77</v>
      </c>
      <c r="C15" s="36">
        <v>0.69</v>
      </c>
      <c r="D15" s="36">
        <v>0.56</v>
      </c>
      <c r="E15" s="36">
        <v>0.92</v>
      </c>
      <c r="F15" s="36">
        <v>0.73</v>
      </c>
    </row>
    <row r="16">
      <c r="B16" s="36">
        <v>0.76</v>
      </c>
      <c r="C16" s="36">
        <v>0.63</v>
      </c>
      <c r="D16" s="36">
        <v>0.12</v>
      </c>
      <c r="E16" s="36">
        <v>0.89</v>
      </c>
      <c r="F16" s="36">
        <v>0.71</v>
      </c>
    </row>
    <row r="17">
      <c r="B17" s="36">
        <v>0.77</v>
      </c>
      <c r="C17" s="36">
        <v>0.69</v>
      </c>
      <c r="D17" s="36">
        <v>0.09</v>
      </c>
      <c r="E17" s="36">
        <v>0.88</v>
      </c>
      <c r="F17" s="36">
        <v>0.55</v>
      </c>
    </row>
    <row r="18">
      <c r="B18" s="36">
        <v>0.81</v>
      </c>
      <c r="C18" s="36">
        <v>0.72</v>
      </c>
      <c r="D18" s="36">
        <v>0.13</v>
      </c>
      <c r="E18" s="36">
        <v>0.86</v>
      </c>
      <c r="F18" s="36">
        <v>0.75</v>
      </c>
    </row>
    <row r="19">
      <c r="B19" s="36">
        <v>0.78</v>
      </c>
      <c r="C19" s="36">
        <v>0.55</v>
      </c>
      <c r="D19" s="36">
        <v>0.06</v>
      </c>
      <c r="E19" s="36">
        <v>0.86</v>
      </c>
      <c r="F19" s="36">
        <v>0.71</v>
      </c>
    </row>
    <row r="20">
      <c r="B20" s="36">
        <v>0.76</v>
      </c>
      <c r="C20" s="36">
        <v>0.57</v>
      </c>
      <c r="D20" s="36">
        <v>0.57</v>
      </c>
      <c r="E20" s="36">
        <v>0.94</v>
      </c>
      <c r="F20" s="36">
        <v>0.6</v>
      </c>
    </row>
    <row r="21">
      <c r="B21" s="36">
        <v>0.78</v>
      </c>
      <c r="C21" s="36">
        <v>0.75</v>
      </c>
      <c r="D21" s="36">
        <v>0.69</v>
      </c>
      <c r="E21" s="36">
        <v>0.9</v>
      </c>
      <c r="F21" s="36">
        <v>0.54</v>
      </c>
    </row>
    <row r="22">
      <c r="B22" s="36">
        <v>0.76</v>
      </c>
      <c r="C22" s="36">
        <v>0.71</v>
      </c>
      <c r="D22" s="36">
        <v>0.38</v>
      </c>
      <c r="E22" s="36">
        <v>0.88</v>
      </c>
      <c r="F22" s="36">
        <v>0.79</v>
      </c>
    </row>
    <row r="23">
      <c r="B23" s="36">
        <v>0.8</v>
      </c>
      <c r="C23" s="36">
        <v>0.58</v>
      </c>
      <c r="D23" s="36">
        <v>0.11</v>
      </c>
      <c r="E23" s="36">
        <v>0.87</v>
      </c>
      <c r="F23" s="36">
        <v>0.68</v>
      </c>
    </row>
    <row r="24">
      <c r="B24" s="36">
        <v>0.83</v>
      </c>
      <c r="C24" s="36">
        <v>0.61</v>
      </c>
      <c r="D24" s="36">
        <v>0.07</v>
      </c>
      <c r="E24" s="36">
        <v>0.85</v>
      </c>
      <c r="F24" s="36">
        <v>0.63</v>
      </c>
    </row>
    <row r="25">
      <c r="B25" s="36">
        <v>0.77</v>
      </c>
      <c r="C25" s="36">
        <v>0.61</v>
      </c>
      <c r="D25" s="36">
        <v>0.55</v>
      </c>
      <c r="E25" s="36">
        <v>0.85</v>
      </c>
      <c r="F25" s="36">
        <v>0.73</v>
      </c>
    </row>
    <row r="26">
      <c r="B26" s="36">
        <v>0.77</v>
      </c>
      <c r="C26" s="36">
        <v>0.64</v>
      </c>
      <c r="D26" s="36">
        <v>0.39</v>
      </c>
      <c r="E26" s="36">
        <v>0.95</v>
      </c>
      <c r="F26" s="36">
        <v>0.73</v>
      </c>
    </row>
    <row r="27">
      <c r="B27" s="36">
        <v>0.76</v>
      </c>
      <c r="C27" s="36">
        <v>0.73</v>
      </c>
      <c r="D27" s="36">
        <v>0.59</v>
      </c>
      <c r="E27" s="36">
        <v>0.85</v>
      </c>
      <c r="F27" s="36">
        <v>0.59</v>
      </c>
    </row>
    <row r="28">
      <c r="B28" s="36">
        <v>0.76</v>
      </c>
      <c r="C28" s="36">
        <v>0.69</v>
      </c>
      <c r="D28" s="36">
        <v>0.35</v>
      </c>
      <c r="E28" s="36">
        <v>0.83</v>
      </c>
      <c r="F28" s="36">
        <v>0.61</v>
      </c>
    </row>
    <row r="29">
      <c r="B29" s="36">
        <v>0.78</v>
      </c>
      <c r="C29" s="36">
        <v>0.56</v>
      </c>
      <c r="D29" s="36">
        <v>0.42</v>
      </c>
      <c r="E29" s="36">
        <v>0.82</v>
      </c>
      <c r="F29" s="36">
        <v>0.72</v>
      </c>
    </row>
    <row r="30">
      <c r="B30" s="36">
        <v>0.77</v>
      </c>
      <c r="C30" s="36">
        <v>0.67</v>
      </c>
      <c r="D30" s="36">
        <v>0.15</v>
      </c>
      <c r="E30" s="36">
        <v>0.79</v>
      </c>
      <c r="F30" s="36">
        <v>0.41</v>
      </c>
    </row>
    <row r="31">
      <c r="B31" s="36">
        <v>0.79</v>
      </c>
      <c r="C31" s="36">
        <v>0.7</v>
      </c>
      <c r="D31" s="36">
        <v>0.09</v>
      </c>
      <c r="E31" s="36">
        <v>0.88</v>
      </c>
      <c r="F31" s="36">
        <v>0.64</v>
      </c>
    </row>
    <row r="32">
      <c r="B32" s="36">
        <v>0.78</v>
      </c>
      <c r="C32" s="36">
        <v>0.23</v>
      </c>
      <c r="D32" s="36">
        <v>0.08</v>
      </c>
      <c r="E32" s="36">
        <v>0.91</v>
      </c>
      <c r="F32" s="36">
        <v>0.48</v>
      </c>
    </row>
    <row r="33">
      <c r="B33" s="36">
        <v>0.78</v>
      </c>
      <c r="C33" s="36">
        <v>0.69</v>
      </c>
      <c r="D33" s="36">
        <v>0.77</v>
      </c>
      <c r="E33" s="36">
        <v>0.9</v>
      </c>
      <c r="F33" s="36">
        <v>0.78</v>
      </c>
    </row>
    <row r="34">
      <c r="B34" s="36">
        <v>0.76</v>
      </c>
      <c r="C34" s="36">
        <v>0.67</v>
      </c>
      <c r="D34" s="36">
        <v>0.17</v>
      </c>
      <c r="E34" s="36">
        <v>0.86</v>
      </c>
      <c r="F34" s="36">
        <v>0.77</v>
      </c>
    </row>
    <row r="35">
      <c r="B35" s="36">
        <v>0.78</v>
      </c>
      <c r="C35" s="36">
        <v>0.77</v>
      </c>
      <c r="D35" s="36">
        <v>0.75</v>
      </c>
      <c r="E35" s="36">
        <v>0.86</v>
      </c>
      <c r="F35" s="36">
        <v>0.58</v>
      </c>
    </row>
    <row r="36">
      <c r="B36" s="36">
        <v>0.88</v>
      </c>
      <c r="C36" s="36">
        <v>0.75</v>
      </c>
      <c r="D36" s="36">
        <v>0.31</v>
      </c>
      <c r="E36" s="36">
        <v>0.77</v>
      </c>
      <c r="F36" s="36">
        <v>0.61</v>
      </c>
    </row>
    <row r="37">
      <c r="B37" s="36">
        <v>0.75</v>
      </c>
      <c r="C37" s="36">
        <v>0.19</v>
      </c>
      <c r="D37" s="36">
        <v>0.2</v>
      </c>
      <c r="E37" s="36">
        <v>0.8</v>
      </c>
      <c r="F37" s="36">
        <v>0.62</v>
      </c>
    </row>
    <row r="38">
      <c r="B38" s="36">
        <v>0.75</v>
      </c>
      <c r="C38" s="36">
        <v>0.76</v>
      </c>
      <c r="D38" s="36">
        <v>0.25</v>
      </c>
      <c r="E38" s="36">
        <v>0.87</v>
      </c>
      <c r="F38" s="36">
        <v>0.52</v>
      </c>
    </row>
    <row r="39">
      <c r="B39" s="36">
        <v>0.77</v>
      </c>
      <c r="C39" s="36">
        <v>0.58</v>
      </c>
      <c r="D39" s="36">
        <v>0.72</v>
      </c>
      <c r="E39" s="36">
        <v>0.95</v>
      </c>
      <c r="F39" s="36">
        <v>0.63</v>
      </c>
    </row>
    <row r="40">
      <c r="B40" s="36">
        <v>0.76</v>
      </c>
      <c r="C40" s="36">
        <v>0.74</v>
      </c>
      <c r="D40" s="36">
        <v>0.43</v>
      </c>
      <c r="E40" s="36">
        <v>0.78</v>
      </c>
      <c r="F40" s="36">
        <v>0.76</v>
      </c>
    </row>
    <row r="41">
      <c r="B41" s="36">
        <v>0.76</v>
      </c>
      <c r="C41" s="36">
        <v>0.46</v>
      </c>
      <c r="D41" s="36">
        <v>0.71</v>
      </c>
      <c r="E41" s="36">
        <v>0.87</v>
      </c>
      <c r="F41" s="36">
        <v>0.76</v>
      </c>
    </row>
    <row r="42">
      <c r="B42" s="36">
        <v>0.83</v>
      </c>
      <c r="C42" s="36">
        <v>0.62</v>
      </c>
      <c r="D42" s="36">
        <v>0.46</v>
      </c>
      <c r="E42" s="36">
        <v>0.84</v>
      </c>
      <c r="F42" s="36">
        <v>0.63</v>
      </c>
    </row>
    <row r="43">
      <c r="B43" s="36">
        <v>0.77</v>
      </c>
      <c r="C43" s="36">
        <v>0.65</v>
      </c>
      <c r="D43" s="36">
        <v>0.13</v>
      </c>
      <c r="E43" s="36">
        <v>0.91</v>
      </c>
      <c r="F43" s="36">
        <v>0.71</v>
      </c>
    </row>
    <row r="44">
      <c r="B44" s="36">
        <v>0.78</v>
      </c>
      <c r="C44" s="36">
        <v>0.65</v>
      </c>
      <c r="D44" s="36">
        <v>0.05</v>
      </c>
      <c r="E44" s="36">
        <v>0.9</v>
      </c>
      <c r="F44" s="36">
        <v>0.73</v>
      </c>
    </row>
    <row r="45">
      <c r="B45" s="36">
        <v>0.79</v>
      </c>
      <c r="C45" s="36">
        <v>0.42</v>
      </c>
      <c r="D45" s="36">
        <v>0.17</v>
      </c>
      <c r="E45" s="36">
        <v>0.85</v>
      </c>
      <c r="F45" s="36">
        <v>0.72</v>
      </c>
    </row>
    <row r="46">
      <c r="B46" s="36">
        <v>0.8</v>
      </c>
      <c r="C46" s="36">
        <v>0.73</v>
      </c>
      <c r="D46" s="36">
        <v>0.27</v>
      </c>
      <c r="E46" s="36">
        <v>0.84</v>
      </c>
      <c r="F46" s="36">
        <v>0.76</v>
      </c>
    </row>
    <row r="47">
      <c r="B47" s="36">
        <v>0.74</v>
      </c>
      <c r="C47" s="36">
        <v>0.76</v>
      </c>
      <c r="D47" s="36">
        <v>0.42</v>
      </c>
      <c r="E47" s="36">
        <v>0.84</v>
      </c>
      <c r="F47" s="36">
        <v>0.74</v>
      </c>
    </row>
    <row r="48">
      <c r="B48" s="36">
        <v>0.79</v>
      </c>
      <c r="C48" s="36">
        <v>0.58</v>
      </c>
      <c r="D48" s="36">
        <v>0.35</v>
      </c>
      <c r="E48" s="36">
        <v>0.8</v>
      </c>
      <c r="F48" s="36">
        <v>0.72</v>
      </c>
    </row>
    <row r="49">
      <c r="B49" s="36">
        <v>0.82</v>
      </c>
      <c r="C49" s="36">
        <v>0.69</v>
      </c>
      <c r="D49" s="36">
        <v>0.62</v>
      </c>
      <c r="E49" s="36">
        <v>0.88</v>
      </c>
      <c r="F49" s="36">
        <v>0.77</v>
      </c>
    </row>
    <row r="50">
      <c r="B50" s="36">
        <v>0.78</v>
      </c>
      <c r="C50" s="36">
        <v>0.63</v>
      </c>
      <c r="D50" s="36">
        <v>0.51</v>
      </c>
      <c r="E50" s="36">
        <v>0.86</v>
      </c>
      <c r="F50" s="36">
        <v>0.77</v>
      </c>
    </row>
    <row r="51">
      <c r="B51" s="36">
        <v>0.79</v>
      </c>
      <c r="C51" s="36">
        <v>0.77</v>
      </c>
      <c r="D51" s="36">
        <v>0.24</v>
      </c>
      <c r="E51" s="36">
        <v>0.89</v>
      </c>
      <c r="F51" s="36">
        <v>0.73</v>
      </c>
    </row>
    <row r="52">
      <c r="B52" s="36">
        <v>0.83</v>
      </c>
      <c r="C52" s="36">
        <v>0.69</v>
      </c>
      <c r="D52" s="36">
        <v>0.31</v>
      </c>
      <c r="E52" s="36">
        <v>0.86</v>
      </c>
      <c r="F52" s="36">
        <v>0.58</v>
      </c>
    </row>
    <row r="53">
      <c r="B53" s="36">
        <v>0.78</v>
      </c>
      <c r="C53" s="36">
        <v>0.54</v>
      </c>
      <c r="D53" s="36">
        <v>0.12</v>
      </c>
      <c r="E53" s="36">
        <v>0.85</v>
      </c>
      <c r="F53" s="36">
        <v>0.77</v>
      </c>
    </row>
    <row r="54">
      <c r="B54" s="36">
        <v>0.72</v>
      </c>
      <c r="C54" s="36">
        <v>0.54</v>
      </c>
      <c r="D54" s="36">
        <v>0.39</v>
      </c>
      <c r="E54" s="36">
        <v>0.71</v>
      </c>
      <c r="F54" s="36">
        <v>0.67</v>
      </c>
    </row>
    <row r="55">
      <c r="B55" s="36">
        <v>0.81</v>
      </c>
      <c r="C55" s="36">
        <v>0.41</v>
      </c>
      <c r="D55" s="36">
        <v>0.53</v>
      </c>
      <c r="E55" s="36">
        <v>0.9</v>
      </c>
      <c r="F55" s="36">
        <v>0.6</v>
      </c>
    </row>
    <row r="56">
      <c r="B56" s="36">
        <v>0.8</v>
      </c>
      <c r="C56" s="36">
        <v>0.63</v>
      </c>
      <c r="D56" s="36">
        <v>0.29</v>
      </c>
      <c r="E56" s="36">
        <v>0.92</v>
      </c>
      <c r="F56" s="36">
        <v>0.71</v>
      </c>
    </row>
    <row r="57">
      <c r="B57" s="36">
        <v>0.62</v>
      </c>
      <c r="C57" s="36">
        <v>0.6</v>
      </c>
      <c r="D57" s="36">
        <v>0.51</v>
      </c>
      <c r="E57" s="36">
        <v>0.89</v>
      </c>
      <c r="F57" s="36">
        <v>0.5</v>
      </c>
    </row>
    <row r="58">
      <c r="B58" s="36">
        <v>0.71</v>
      </c>
      <c r="C58" s="36">
        <v>0.65</v>
      </c>
      <c r="D58" s="36">
        <v>0.42</v>
      </c>
      <c r="E58" s="36">
        <v>0.91</v>
      </c>
      <c r="F58" s="36">
        <v>0.64</v>
      </c>
    </row>
    <row r="59">
      <c r="B59" s="36">
        <v>0.73</v>
      </c>
      <c r="C59" s="36">
        <v>0.72</v>
      </c>
      <c r="D59" s="36">
        <v>0.47</v>
      </c>
      <c r="E59" s="36">
        <v>0.8</v>
      </c>
      <c r="F59" s="36">
        <v>0.72</v>
      </c>
    </row>
    <row r="60">
      <c r="B60" s="36">
        <v>0.78</v>
      </c>
      <c r="C60" s="36">
        <v>0.67</v>
      </c>
      <c r="D60" s="36">
        <v>0.25</v>
      </c>
      <c r="E60" s="36">
        <v>0.78</v>
      </c>
      <c r="F60" s="36">
        <v>0.57</v>
      </c>
    </row>
    <row r="61">
      <c r="B61" s="36">
        <v>0.74</v>
      </c>
      <c r="C61" s="36">
        <v>0.61</v>
      </c>
      <c r="D61" s="36">
        <v>0.38</v>
      </c>
      <c r="E61" s="36">
        <v>0.89</v>
      </c>
      <c r="F61" s="36">
        <v>0.79</v>
      </c>
    </row>
    <row r="62">
      <c r="B62" s="36">
        <v>0.78</v>
      </c>
      <c r="C62" s="36">
        <v>0.61</v>
      </c>
      <c r="D62" s="36">
        <v>0.61</v>
      </c>
      <c r="E62" s="36">
        <v>0.88</v>
      </c>
      <c r="F62" s="36">
        <v>0.61</v>
      </c>
    </row>
    <row r="63">
      <c r="B63" s="36">
        <v>0.81</v>
      </c>
      <c r="C63" s="36">
        <v>0.64</v>
      </c>
      <c r="D63" s="36">
        <v>0.24</v>
      </c>
      <c r="E63" s="36">
        <v>0.86</v>
      </c>
      <c r="F63" s="36">
        <v>0.73</v>
      </c>
    </row>
    <row r="64">
      <c r="B64" s="36">
        <v>0.79</v>
      </c>
      <c r="C64" s="36">
        <v>0.78</v>
      </c>
      <c r="D64" s="36">
        <v>0.0</v>
      </c>
      <c r="E64" s="36">
        <v>0.82</v>
      </c>
      <c r="F64" s="36">
        <v>0.68</v>
      </c>
    </row>
    <row r="65">
      <c r="B65" s="36">
        <v>0.75</v>
      </c>
      <c r="C65" s="36">
        <v>0.72</v>
      </c>
      <c r="D65" s="36">
        <v>0.13</v>
      </c>
      <c r="E65" s="36">
        <v>0.82</v>
      </c>
      <c r="F65" s="36">
        <v>0.64</v>
      </c>
    </row>
    <row r="66">
      <c r="B66" s="36">
        <v>0.77</v>
      </c>
      <c r="C66" s="36">
        <v>0.56</v>
      </c>
      <c r="D66" s="36">
        <v>0.72</v>
      </c>
      <c r="E66" s="36">
        <v>0.85</v>
      </c>
      <c r="F66" s="36">
        <v>0.7</v>
      </c>
    </row>
    <row r="67">
      <c r="B67" s="36">
        <v>0.76</v>
      </c>
      <c r="C67" s="36">
        <v>0.64</v>
      </c>
      <c r="D67" s="36">
        <v>0.21</v>
      </c>
      <c r="E67" s="36">
        <v>0.84</v>
      </c>
      <c r="F67" s="36">
        <v>0.57</v>
      </c>
    </row>
    <row r="68">
      <c r="B68" s="36">
        <v>0.73</v>
      </c>
      <c r="C68" s="36">
        <v>0.7</v>
      </c>
      <c r="D68" s="36">
        <v>0.44</v>
      </c>
      <c r="E68" s="36">
        <v>0.86</v>
      </c>
      <c r="F68" s="36">
        <v>0.7</v>
      </c>
    </row>
    <row r="69">
      <c r="B69" s="36">
        <v>0.79</v>
      </c>
      <c r="C69" s="36">
        <v>0.76</v>
      </c>
      <c r="D69" s="36">
        <v>0.47</v>
      </c>
      <c r="E69" s="36">
        <v>0.89</v>
      </c>
      <c r="F69" s="36">
        <v>0.72</v>
      </c>
    </row>
    <row r="70">
      <c r="B70" s="36">
        <v>0.62</v>
      </c>
      <c r="C70" s="36">
        <v>0.6</v>
      </c>
      <c r="D70" s="36">
        <v>0.05</v>
      </c>
      <c r="E70" s="36">
        <v>0.89</v>
      </c>
      <c r="F70" s="36">
        <v>0.71</v>
      </c>
    </row>
    <row r="71">
      <c r="B71" s="36">
        <v>0.58</v>
      </c>
      <c r="C71" s="36">
        <v>0.7</v>
      </c>
      <c r="D71" s="36">
        <v>0.56</v>
      </c>
      <c r="E71" s="36">
        <v>0.82</v>
      </c>
      <c r="F71" s="36">
        <v>0.68</v>
      </c>
    </row>
    <row r="72">
      <c r="B72" s="36">
        <v>0.73</v>
      </c>
      <c r="C72" s="36">
        <v>0.59</v>
      </c>
      <c r="D72" s="36">
        <v>0.03</v>
      </c>
      <c r="E72" s="36">
        <v>0.81</v>
      </c>
      <c r="F72" s="36">
        <v>0.71</v>
      </c>
    </row>
    <row r="73">
      <c r="B73" s="36">
        <v>0.75</v>
      </c>
      <c r="C73" s="36">
        <v>0.63</v>
      </c>
      <c r="D73" s="36">
        <v>0.31</v>
      </c>
      <c r="E73" s="36">
        <v>0.95</v>
      </c>
      <c r="F73" s="36">
        <v>0.7</v>
      </c>
    </row>
    <row r="74">
      <c r="B74" s="36">
        <v>0.83</v>
      </c>
      <c r="C74" s="36">
        <v>0.68</v>
      </c>
      <c r="D74" s="36">
        <v>0.24</v>
      </c>
      <c r="E74" s="36">
        <v>0.92</v>
      </c>
      <c r="F74" s="36">
        <v>0.5</v>
      </c>
    </row>
    <row r="75">
      <c r="B75" s="36">
        <v>0.77</v>
      </c>
      <c r="C75" s="36">
        <v>0.57</v>
      </c>
      <c r="D75" s="36">
        <v>0.14</v>
      </c>
      <c r="E75" s="36">
        <v>0.9</v>
      </c>
      <c r="F75" s="36">
        <v>0.75</v>
      </c>
    </row>
    <row r="76">
      <c r="B76" s="36">
        <v>0.7</v>
      </c>
      <c r="C76" s="36">
        <v>0.57</v>
      </c>
      <c r="D76" s="36">
        <v>0.48</v>
      </c>
      <c r="E76" s="36">
        <v>0.83</v>
      </c>
      <c r="F76" s="36">
        <v>0.68</v>
      </c>
    </row>
    <row r="77">
      <c r="B77" s="36">
        <v>0.78</v>
      </c>
      <c r="C77" s="36">
        <v>0.23</v>
      </c>
      <c r="D77" s="36">
        <v>0.41</v>
      </c>
      <c r="E77" s="36">
        <v>0.69</v>
      </c>
      <c r="F77" s="36">
        <v>0.7</v>
      </c>
    </row>
    <row r="78">
      <c r="B78" s="36">
        <v>0.77</v>
      </c>
      <c r="C78" s="36">
        <v>0.72</v>
      </c>
      <c r="D78" s="36">
        <v>0.14</v>
      </c>
      <c r="E78" s="36">
        <v>0.84</v>
      </c>
      <c r="F78" s="36">
        <v>0.69</v>
      </c>
    </row>
    <row r="79">
      <c r="B79" s="36">
        <v>0.7</v>
      </c>
      <c r="C79" s="36">
        <v>0.56</v>
      </c>
      <c r="D79" s="36">
        <v>0.3</v>
      </c>
      <c r="E79" s="36">
        <v>0.85</v>
      </c>
      <c r="F79" s="36">
        <v>0.75</v>
      </c>
    </row>
    <row r="80">
      <c r="B80" s="36">
        <v>0.78</v>
      </c>
      <c r="C80" s="36">
        <v>0.66</v>
      </c>
      <c r="D80" s="36">
        <v>0.27</v>
      </c>
      <c r="E80" s="36">
        <v>0.84</v>
      </c>
      <c r="F80" s="36">
        <v>0.7</v>
      </c>
    </row>
    <row r="81">
      <c r="B81" s="36">
        <v>0.78</v>
      </c>
      <c r="C81" s="36">
        <v>0.66</v>
      </c>
      <c r="D81" s="36">
        <v>0.14</v>
      </c>
      <c r="E81" s="36">
        <v>0.9</v>
      </c>
      <c r="F81" s="36">
        <v>0.67</v>
      </c>
    </row>
    <row r="82">
      <c r="B82" s="36">
        <v>0.75</v>
      </c>
      <c r="C82" s="36">
        <v>0.79</v>
      </c>
      <c r="D82" s="36">
        <v>0.05</v>
      </c>
      <c r="E82" s="36">
        <v>0.85</v>
      </c>
      <c r="F82" s="36">
        <v>0.23</v>
      </c>
    </row>
    <row r="83">
      <c r="B83" s="36">
        <v>0.79</v>
      </c>
      <c r="C83" s="36">
        <v>0.68</v>
      </c>
      <c r="D83" s="36">
        <v>0.71</v>
      </c>
      <c r="E83" s="36">
        <v>0.85</v>
      </c>
      <c r="F83" s="36">
        <v>0.67</v>
      </c>
    </row>
    <row r="84">
      <c r="B84" s="36">
        <v>0.7</v>
      </c>
      <c r="C84" s="36">
        <v>0.64</v>
      </c>
      <c r="D84" s="36">
        <v>0.03</v>
      </c>
      <c r="E84" s="36">
        <v>0.95</v>
      </c>
      <c r="F84" s="36">
        <v>0.72</v>
      </c>
    </row>
    <row r="85">
      <c r="B85" s="36">
        <v>0.79</v>
      </c>
      <c r="C85" s="36">
        <v>0.63</v>
      </c>
      <c r="D85" s="36">
        <v>0.3</v>
      </c>
      <c r="E85" s="36">
        <v>0.9</v>
      </c>
      <c r="F85" s="36">
        <v>0.77</v>
      </c>
    </row>
    <row r="86">
      <c r="B86" s="36">
        <v>0.76</v>
      </c>
      <c r="C86" s="36">
        <v>0.62</v>
      </c>
      <c r="D86" s="36">
        <v>0.06</v>
      </c>
      <c r="E86" s="36">
        <v>0.91</v>
      </c>
      <c r="F86" s="36">
        <v>0.71</v>
      </c>
    </row>
    <row r="87">
      <c r="B87" s="36">
        <v>0.79</v>
      </c>
      <c r="C87" s="36">
        <v>0.7</v>
      </c>
      <c r="D87" s="36">
        <v>0.43</v>
      </c>
      <c r="E87" s="36">
        <v>0.88</v>
      </c>
      <c r="F87" s="36">
        <v>0.73</v>
      </c>
    </row>
    <row r="88">
      <c r="B88" s="36">
        <v>0.73</v>
      </c>
      <c r="C88" s="36">
        <v>0.52</v>
      </c>
      <c r="D88" s="36">
        <v>0.84</v>
      </c>
      <c r="E88" s="36">
        <v>0.85</v>
      </c>
      <c r="F88" s="36">
        <v>0.68</v>
      </c>
    </row>
    <row r="89">
      <c r="B89" s="36">
        <v>0.67</v>
      </c>
      <c r="C89" s="36">
        <v>0.44</v>
      </c>
      <c r="D89" s="36">
        <v>0.11</v>
      </c>
      <c r="E89" s="36">
        <v>0.85</v>
      </c>
      <c r="F89" s="36">
        <v>0.71</v>
      </c>
    </row>
    <row r="90">
      <c r="B90" s="36">
        <v>0.77</v>
      </c>
      <c r="C90" s="36">
        <v>0.75</v>
      </c>
      <c r="D90" s="36">
        <v>0.42</v>
      </c>
      <c r="E90" s="36">
        <v>0.91</v>
      </c>
      <c r="F90" s="36">
        <v>0.72</v>
      </c>
    </row>
    <row r="91">
      <c r="B91" s="36">
        <v>0.73</v>
      </c>
      <c r="C91" s="36">
        <v>0.55</v>
      </c>
      <c r="D91" s="36">
        <v>0.2</v>
      </c>
      <c r="E91" s="36">
        <v>0.82</v>
      </c>
      <c r="F91" s="36">
        <v>0.78</v>
      </c>
    </row>
    <row r="92">
      <c r="B92" s="36">
        <v>0.76</v>
      </c>
      <c r="C92" s="36">
        <v>0.7</v>
      </c>
      <c r="D92" s="36">
        <v>0.63</v>
      </c>
      <c r="E92" s="36">
        <v>0.89</v>
      </c>
      <c r="F92" s="36">
        <v>0.74</v>
      </c>
    </row>
    <row r="93">
      <c r="B93" s="36">
        <v>0.77</v>
      </c>
      <c r="C93" s="36">
        <v>0.71</v>
      </c>
      <c r="D93" s="36">
        <v>0.35</v>
      </c>
      <c r="E93" s="36">
        <v>0.88</v>
      </c>
      <c r="F93" s="36">
        <v>0.68</v>
      </c>
    </row>
    <row r="94">
      <c r="B94" s="36">
        <v>0.78</v>
      </c>
      <c r="C94" s="36">
        <v>0.67</v>
      </c>
      <c r="D94" s="36">
        <v>0.37</v>
      </c>
      <c r="E94" s="36">
        <v>0.81</v>
      </c>
      <c r="F94" s="36">
        <v>0.69</v>
      </c>
    </row>
    <row r="95">
      <c r="B95" s="36">
        <v>0.77</v>
      </c>
      <c r="C95" s="36">
        <v>0.77</v>
      </c>
      <c r="D95" s="36">
        <v>0.22</v>
      </c>
      <c r="E95" s="36">
        <v>0.89</v>
      </c>
      <c r="F95" s="36">
        <v>0.5</v>
      </c>
    </row>
    <row r="96">
      <c r="B96" s="36">
        <v>0.81</v>
      </c>
      <c r="C96" s="36">
        <v>0.66</v>
      </c>
      <c r="D96" s="36">
        <v>0.05</v>
      </c>
      <c r="E96" s="36">
        <v>0.89</v>
      </c>
      <c r="F96" s="36">
        <v>0.67</v>
      </c>
    </row>
    <row r="97">
      <c r="B97" s="36">
        <v>0.79</v>
      </c>
      <c r="C97" s="36">
        <v>0.45</v>
      </c>
      <c r="D97" s="36">
        <v>0.19</v>
      </c>
      <c r="E97" s="36">
        <v>0.84</v>
      </c>
      <c r="F97" s="36">
        <v>0.62</v>
      </c>
    </row>
    <row r="98">
      <c r="B98" s="36">
        <v>0.79</v>
      </c>
      <c r="C98" s="36">
        <v>0.61</v>
      </c>
      <c r="D98" s="36">
        <v>0.43</v>
      </c>
      <c r="E98" s="36">
        <v>0.91</v>
      </c>
      <c r="F98" s="36">
        <v>0.53</v>
      </c>
    </row>
    <row r="99">
      <c r="B99" s="36">
        <v>0.71</v>
      </c>
      <c r="C99" s="36">
        <v>0.72</v>
      </c>
      <c r="D99" s="36">
        <v>0.17</v>
      </c>
      <c r="E99" s="36">
        <v>0.88</v>
      </c>
      <c r="F99" s="36">
        <v>0.72</v>
      </c>
    </row>
    <row r="100">
      <c r="B100" s="36">
        <v>0.82</v>
      </c>
      <c r="C100" s="36">
        <v>0.67</v>
      </c>
      <c r="D100" s="36">
        <v>0.54</v>
      </c>
      <c r="E100" s="36">
        <v>0.85</v>
      </c>
      <c r="F100" s="36">
        <v>0.75</v>
      </c>
    </row>
    <row r="101">
      <c r="B101" s="36">
        <v>0.82</v>
      </c>
      <c r="C101" s="36">
        <v>0.55</v>
      </c>
      <c r="D101" s="36">
        <v>0.57</v>
      </c>
      <c r="E101" s="36">
        <v>0.89</v>
      </c>
      <c r="F101" s="36">
        <v>0.76</v>
      </c>
    </row>
    <row r="102">
      <c r="B102" s="36">
        <v>0.79</v>
      </c>
      <c r="C102" s="36">
        <v>0.74</v>
      </c>
      <c r="D102" s="36">
        <v>0.71</v>
      </c>
      <c r="E102" s="36">
        <v>0.91</v>
      </c>
      <c r="F102" s="36">
        <v>0.61</v>
      </c>
    </row>
    <row r="103">
      <c r="B103" s="37">
        <v>0.81</v>
      </c>
      <c r="C103" s="37">
        <v>0.73</v>
      </c>
      <c r="D103" s="37">
        <v>0.48</v>
      </c>
      <c r="E103" s="37">
        <v>0.93</v>
      </c>
      <c r="F103" s="37">
        <v>0.77</v>
      </c>
    </row>
    <row r="106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>
      <c r="B108" s="40" t="s">
        <v>8</v>
      </c>
      <c r="C108" s="41">
        <v>0.7686</v>
      </c>
      <c r="D108" s="41">
        <v>0.0434</v>
      </c>
      <c r="E108" s="41">
        <v>0.78</v>
      </c>
      <c r="F108" s="41">
        <v>0.7601</v>
      </c>
      <c r="G108" s="41">
        <v>0.7771</v>
      </c>
      <c r="H108" s="42">
        <v>0.58</v>
      </c>
      <c r="I108" s="42">
        <v>0.88</v>
      </c>
      <c r="J108" s="43">
        <v>5.6</v>
      </c>
    </row>
    <row r="109">
      <c r="B109" s="40" t="s">
        <v>12</v>
      </c>
      <c r="C109" s="41">
        <v>0.6325</v>
      </c>
      <c r="D109" s="41">
        <v>0.1167</v>
      </c>
      <c r="E109" s="41">
        <v>0.65</v>
      </c>
      <c r="F109" s="41">
        <v>0.6096</v>
      </c>
      <c r="G109" s="41">
        <v>0.6554</v>
      </c>
      <c r="H109" s="42">
        <v>0.19</v>
      </c>
      <c r="I109" s="42">
        <v>0.79</v>
      </c>
      <c r="J109" s="43">
        <v>18.5</v>
      </c>
    </row>
    <row r="110">
      <c r="B110" s="40" t="s">
        <v>9</v>
      </c>
      <c r="C110" s="41">
        <v>0.3486</v>
      </c>
      <c r="D110" s="41">
        <v>0.2145</v>
      </c>
      <c r="E110" s="41">
        <v>0.34</v>
      </c>
      <c r="F110" s="41">
        <v>0.3066</v>
      </c>
      <c r="G110" s="41">
        <v>0.3906</v>
      </c>
      <c r="H110" s="42">
        <v>0.0</v>
      </c>
      <c r="I110" s="42">
        <v>0.84</v>
      </c>
      <c r="J110" s="43">
        <v>61.5</v>
      </c>
    </row>
    <row r="111">
      <c r="B111" s="40" t="s">
        <v>11</v>
      </c>
      <c r="C111" s="41">
        <v>0.8657</v>
      </c>
      <c r="D111" s="41">
        <v>0.0458</v>
      </c>
      <c r="E111" s="41">
        <v>0.87</v>
      </c>
      <c r="F111" s="41">
        <v>0.8567</v>
      </c>
      <c r="G111" s="41">
        <v>0.8747</v>
      </c>
      <c r="H111" s="42">
        <v>0.69</v>
      </c>
      <c r="I111" s="42">
        <v>0.95</v>
      </c>
      <c r="J111" s="43">
        <v>5.3</v>
      </c>
    </row>
    <row r="112">
      <c r="B112" s="44" t="s">
        <v>10</v>
      </c>
      <c r="C112" s="45">
        <v>0.6717</v>
      </c>
      <c r="D112" s="45">
        <v>0.0927</v>
      </c>
      <c r="E112" s="45">
        <v>0.7</v>
      </c>
      <c r="F112" s="45">
        <v>0.6535</v>
      </c>
      <c r="G112" s="45">
        <v>0.6899</v>
      </c>
      <c r="H112" s="46">
        <v>0.23</v>
      </c>
      <c r="I112" s="47">
        <v>0.79</v>
      </c>
      <c r="J112" s="48">
        <v>13.8</v>
      </c>
    </row>
    <row r="113">
      <c r="B113" s="40"/>
      <c r="C113" s="41"/>
      <c r="D113" s="41"/>
      <c r="E113" s="41"/>
      <c r="F113" s="41"/>
      <c r="G113" s="41"/>
      <c r="H113" s="42"/>
      <c r="I113" s="42"/>
      <c r="J113" s="43"/>
    </row>
    <row r="114">
      <c r="B114" s="49"/>
      <c r="C114" s="49"/>
      <c r="D114" s="49"/>
      <c r="E114" s="49"/>
      <c r="F114" s="49"/>
      <c r="G114" s="49"/>
      <c r="H114" s="49"/>
      <c r="I114" s="49"/>
      <c r="J114" s="49"/>
    </row>
    <row r="115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>
      <c r="B117" s="45">
        <v>69.9855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>
      <c r="B118" s="41"/>
      <c r="C118" s="42"/>
      <c r="D118" s="52"/>
      <c r="E118" s="49"/>
      <c r="F118" s="49"/>
      <c r="G118" s="49"/>
      <c r="H118" s="49"/>
      <c r="I118" s="49"/>
      <c r="J118" s="49"/>
    </row>
    <row r="119">
      <c r="B119" s="49"/>
      <c r="C119" s="49"/>
      <c r="D119" s="49"/>
      <c r="E119" s="49"/>
      <c r="F119" s="49"/>
      <c r="G119" s="49"/>
      <c r="H119" s="49"/>
      <c r="I119" s="49"/>
      <c r="J119" s="49"/>
    </row>
    <row r="120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>
      <c r="B122" s="47">
        <v>262.0181</v>
      </c>
      <c r="C122" s="47">
        <v>4.0</v>
      </c>
      <c r="D122" s="47">
        <v>10.0</v>
      </c>
      <c r="E122" s="50" t="s">
        <v>35</v>
      </c>
      <c r="F122" s="51" t="s">
        <v>41</v>
      </c>
      <c r="G122" s="49"/>
      <c r="H122" s="49"/>
      <c r="I122" s="49"/>
      <c r="J122" s="49"/>
    </row>
    <row r="123">
      <c r="B123" s="42"/>
      <c r="C123" s="42"/>
      <c r="D123" s="42"/>
      <c r="E123" s="42"/>
      <c r="F123" s="52"/>
      <c r="G123" s="49"/>
      <c r="H123" s="49"/>
      <c r="I123" s="49"/>
      <c r="J123" s="49"/>
    </row>
    <row r="124">
      <c r="B124" s="49"/>
      <c r="C124" s="49"/>
      <c r="D124" s="49"/>
      <c r="E124" s="49"/>
      <c r="F124" s="49"/>
      <c r="G124" s="49"/>
      <c r="H124" s="49"/>
      <c r="I124" s="49"/>
      <c r="J124" s="49"/>
    </row>
    <row r="125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>
      <c r="B127" s="40" t="s">
        <v>8</v>
      </c>
      <c r="C127" s="40" t="s">
        <v>12</v>
      </c>
      <c r="D127" s="41">
        <v>0.1361</v>
      </c>
      <c r="E127" s="41">
        <v>0.0125</v>
      </c>
      <c r="F127" s="41">
        <v>0.1115</v>
      </c>
      <c r="G127" s="41">
        <v>0.1607</v>
      </c>
      <c r="H127" s="53" t="s">
        <v>35</v>
      </c>
      <c r="I127" s="52" t="s">
        <v>48</v>
      </c>
      <c r="J127" s="49"/>
    </row>
    <row r="128">
      <c r="B128" s="40" t="s">
        <v>8</v>
      </c>
      <c r="C128" s="40" t="s">
        <v>9</v>
      </c>
      <c r="D128" s="41">
        <v>0.42</v>
      </c>
      <c r="E128" s="41">
        <v>0.0219</v>
      </c>
      <c r="F128" s="41">
        <v>0.3766</v>
      </c>
      <c r="G128" s="41">
        <v>0.4634</v>
      </c>
      <c r="H128" s="53" t="s">
        <v>35</v>
      </c>
      <c r="I128" s="52" t="s">
        <v>48</v>
      </c>
      <c r="J128" s="49"/>
    </row>
    <row r="129">
      <c r="B129" s="40" t="s">
        <v>8</v>
      </c>
      <c r="C129" s="40" t="s">
        <v>11</v>
      </c>
      <c r="D129" s="41">
        <v>-0.0971</v>
      </c>
      <c r="E129" s="41">
        <v>0.0063</v>
      </c>
      <c r="F129" s="41">
        <v>-0.1095</v>
      </c>
      <c r="G129" s="41">
        <v>-0.0847</v>
      </c>
      <c r="H129" s="53" t="s">
        <v>35</v>
      </c>
      <c r="I129" s="52" t="s">
        <v>48</v>
      </c>
      <c r="J129" s="49"/>
    </row>
    <row r="130">
      <c r="B130" s="40" t="s">
        <v>8</v>
      </c>
      <c r="C130" s="40" t="s">
        <v>10</v>
      </c>
      <c r="D130" s="41">
        <v>0.0969</v>
      </c>
      <c r="E130" s="41">
        <v>0.0102</v>
      </c>
      <c r="F130" s="41">
        <v>0.0767</v>
      </c>
      <c r="G130" s="41">
        <v>0.1171</v>
      </c>
      <c r="H130" s="53" t="s">
        <v>35</v>
      </c>
      <c r="I130" s="52" t="s">
        <v>48</v>
      </c>
      <c r="J130" s="49"/>
    </row>
    <row r="131">
      <c r="B131" s="40" t="s">
        <v>12</v>
      </c>
      <c r="C131" s="40" t="s">
        <v>9</v>
      </c>
      <c r="D131" s="41">
        <v>0.2839</v>
      </c>
      <c r="E131" s="41">
        <v>0.0244</v>
      </c>
      <c r="F131" s="41">
        <v>0.2356</v>
      </c>
      <c r="G131" s="41">
        <v>0.3322</v>
      </c>
      <c r="H131" s="53" t="s">
        <v>35</v>
      </c>
      <c r="I131" s="52" t="s">
        <v>48</v>
      </c>
      <c r="J131" s="49"/>
    </row>
    <row r="132">
      <c r="B132" s="40" t="s">
        <v>12</v>
      </c>
      <c r="C132" s="40" t="s">
        <v>11</v>
      </c>
      <c r="D132" s="41">
        <v>-0.2332</v>
      </c>
      <c r="E132" s="41">
        <v>0.0125</v>
      </c>
      <c r="F132" s="41">
        <v>-0.258</v>
      </c>
      <c r="G132" s="41">
        <v>-0.2084</v>
      </c>
      <c r="H132" s="53" t="s">
        <v>35</v>
      </c>
      <c r="I132" s="52" t="s">
        <v>48</v>
      </c>
      <c r="J132" s="49"/>
    </row>
    <row r="133">
      <c r="B133" s="40" t="s">
        <v>12</v>
      </c>
      <c r="C133" s="40" t="s">
        <v>10</v>
      </c>
      <c r="D133" s="41">
        <v>-0.0392</v>
      </c>
      <c r="E133" s="41">
        <v>0.0149</v>
      </c>
      <c r="F133" s="41">
        <v>-0.0686</v>
      </c>
      <c r="G133" s="41">
        <v>-0.0098</v>
      </c>
      <c r="H133" s="53">
        <v>0.009</v>
      </c>
      <c r="I133" s="52" t="s">
        <v>48</v>
      </c>
      <c r="J133" s="49"/>
    </row>
    <row r="134">
      <c r="B134" s="40" t="s">
        <v>9</v>
      </c>
      <c r="C134" s="40" t="s">
        <v>11</v>
      </c>
      <c r="D134" s="41">
        <v>-0.5171</v>
      </c>
      <c r="E134" s="41">
        <v>0.0219</v>
      </c>
      <c r="F134" s="41">
        <v>-0.5606</v>
      </c>
      <c r="G134" s="41">
        <v>-0.4736</v>
      </c>
      <c r="H134" s="53" t="s">
        <v>35</v>
      </c>
      <c r="I134" s="52" t="s">
        <v>48</v>
      </c>
      <c r="J134" s="49"/>
    </row>
    <row r="135">
      <c r="B135" s="40" t="s">
        <v>9</v>
      </c>
      <c r="C135" s="40" t="s">
        <v>10</v>
      </c>
      <c r="D135" s="41">
        <v>-0.3231</v>
      </c>
      <c r="E135" s="41">
        <v>0.0234</v>
      </c>
      <c r="F135" s="41">
        <v>-0.3693</v>
      </c>
      <c r="G135" s="41">
        <v>-0.2769</v>
      </c>
      <c r="H135" s="53" t="s">
        <v>35</v>
      </c>
      <c r="I135" s="52" t="s">
        <v>48</v>
      </c>
      <c r="J135" s="49"/>
    </row>
    <row r="136">
      <c r="B136" s="44" t="s">
        <v>11</v>
      </c>
      <c r="C136" s="44" t="s">
        <v>10</v>
      </c>
      <c r="D136" s="45">
        <v>0.194</v>
      </c>
      <c r="E136" s="45">
        <v>0.0103</v>
      </c>
      <c r="F136" s="45">
        <v>0.1736</v>
      </c>
      <c r="G136" s="45">
        <v>0.2144</v>
      </c>
      <c r="H136" s="54" t="s">
        <v>35</v>
      </c>
      <c r="I136" s="51" t="s">
        <v>48</v>
      </c>
      <c r="J136" s="49"/>
    </row>
  </sheetData>
  <mergeCells count="5">
    <mergeCell ref="B2:F2"/>
    <mergeCell ref="B106:J106"/>
    <mergeCell ref="B115:D115"/>
    <mergeCell ref="B120:F120"/>
    <mergeCell ref="B125:I1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33" t="s">
        <v>57</v>
      </c>
      <c r="C2" s="34"/>
      <c r="D2" s="34"/>
      <c r="E2" s="34"/>
      <c r="F2" s="34"/>
    </row>
    <row r="3">
      <c r="B3" s="35" t="s">
        <v>8</v>
      </c>
      <c r="C3" s="35" t="s">
        <v>7</v>
      </c>
      <c r="D3" s="35" t="s">
        <v>9</v>
      </c>
      <c r="E3" s="35" t="s">
        <v>11</v>
      </c>
      <c r="F3" s="35" t="s">
        <v>10</v>
      </c>
    </row>
    <row r="4">
      <c r="B4" s="36">
        <v>0.9</v>
      </c>
      <c r="C4" s="36">
        <v>0.52</v>
      </c>
      <c r="D4" s="36">
        <v>0.7</v>
      </c>
      <c r="E4" s="36">
        <v>0.89</v>
      </c>
      <c r="F4" s="36">
        <v>0.68</v>
      </c>
    </row>
    <row r="5">
      <c r="B5" s="36">
        <v>0.88</v>
      </c>
      <c r="C5" s="36">
        <v>0.39</v>
      </c>
      <c r="D5" s="36">
        <v>0.52</v>
      </c>
      <c r="E5" s="36">
        <v>0.91</v>
      </c>
      <c r="F5" s="36">
        <v>0.45</v>
      </c>
    </row>
    <row r="6">
      <c r="B6" s="36">
        <v>0.66</v>
      </c>
      <c r="C6" s="36">
        <v>0.43</v>
      </c>
      <c r="D6" s="36">
        <v>0.82</v>
      </c>
      <c r="E6" s="36">
        <v>0.91</v>
      </c>
      <c r="F6" s="36">
        <v>0.69</v>
      </c>
    </row>
    <row r="7">
      <c r="B7" s="36">
        <v>0.8</v>
      </c>
      <c r="C7" s="36">
        <v>0.83</v>
      </c>
      <c r="D7" s="36">
        <v>0.04</v>
      </c>
      <c r="E7" s="36">
        <v>0.88</v>
      </c>
      <c r="F7" s="36">
        <v>0.8</v>
      </c>
    </row>
    <row r="8">
      <c r="B8" s="36">
        <v>0.72</v>
      </c>
      <c r="C8" s="36">
        <v>0.66</v>
      </c>
      <c r="D8" s="36">
        <v>0.04</v>
      </c>
      <c r="E8" s="36">
        <v>0.72</v>
      </c>
      <c r="F8" s="36">
        <v>0.77</v>
      </c>
    </row>
    <row r="9">
      <c r="B9" s="36">
        <v>0.8</v>
      </c>
      <c r="C9" s="36">
        <v>0.02</v>
      </c>
      <c r="D9" s="36">
        <v>0.98</v>
      </c>
      <c r="E9" s="36">
        <v>0.9</v>
      </c>
      <c r="F9" s="36">
        <v>0.68</v>
      </c>
    </row>
    <row r="10">
      <c r="B10" s="36">
        <v>0.8</v>
      </c>
      <c r="C10" s="36">
        <v>0.66</v>
      </c>
      <c r="D10" s="36">
        <v>0.5</v>
      </c>
      <c r="E10" s="36">
        <v>0.88</v>
      </c>
      <c r="F10" s="36">
        <v>0.59</v>
      </c>
    </row>
    <row r="11">
      <c r="B11" s="36">
        <v>0.71</v>
      </c>
      <c r="C11" s="36">
        <v>0.66</v>
      </c>
      <c r="D11" s="36">
        <v>0.21</v>
      </c>
      <c r="E11" s="36">
        <v>0.9</v>
      </c>
      <c r="F11" s="36">
        <v>0.69</v>
      </c>
    </row>
    <row r="12">
      <c r="B12" s="36">
        <v>0.72</v>
      </c>
      <c r="C12" s="36">
        <v>0.68</v>
      </c>
      <c r="D12" s="36">
        <v>0.04</v>
      </c>
      <c r="E12" s="36">
        <v>0.91</v>
      </c>
      <c r="F12" s="36">
        <v>0.7</v>
      </c>
    </row>
    <row r="13">
      <c r="B13" s="36">
        <v>0.74</v>
      </c>
      <c r="C13" s="36">
        <v>0.57</v>
      </c>
      <c r="D13" s="36">
        <v>0.81</v>
      </c>
      <c r="E13" s="36">
        <v>0.94</v>
      </c>
      <c r="F13" s="36">
        <v>0.58</v>
      </c>
    </row>
    <row r="14">
      <c r="B14" s="36">
        <v>0.83</v>
      </c>
      <c r="C14" s="36">
        <v>0.68</v>
      </c>
      <c r="D14" s="36">
        <v>0.79</v>
      </c>
      <c r="E14" s="36">
        <v>0.92</v>
      </c>
      <c r="F14" s="36">
        <v>0.52</v>
      </c>
    </row>
    <row r="15">
      <c r="B15" s="36">
        <v>0.7</v>
      </c>
      <c r="C15" s="36">
        <v>0.38</v>
      </c>
      <c r="D15" s="36">
        <v>0.54</v>
      </c>
      <c r="E15" s="36">
        <v>0.86</v>
      </c>
      <c r="F15" s="36">
        <v>0.81</v>
      </c>
    </row>
    <row r="16">
      <c r="B16" s="36">
        <v>0.72</v>
      </c>
      <c r="C16" s="36">
        <v>0.56</v>
      </c>
      <c r="D16" s="36">
        <v>0.15</v>
      </c>
      <c r="E16" s="36">
        <v>0.91</v>
      </c>
      <c r="F16" s="36">
        <v>0.77</v>
      </c>
    </row>
    <row r="17">
      <c r="B17" s="36">
        <v>0.24</v>
      </c>
      <c r="C17" s="36">
        <v>0.4</v>
      </c>
      <c r="D17" s="36">
        <v>0.65</v>
      </c>
      <c r="E17" s="36">
        <v>0.88</v>
      </c>
      <c r="F17" s="36">
        <v>0.76</v>
      </c>
    </row>
    <row r="18">
      <c r="B18" s="36">
        <v>0.82</v>
      </c>
      <c r="C18" s="36">
        <v>0.59</v>
      </c>
      <c r="D18" s="36">
        <v>0.27</v>
      </c>
      <c r="E18" s="36">
        <v>0.89</v>
      </c>
      <c r="F18" s="36">
        <v>0.81</v>
      </c>
    </row>
    <row r="19">
      <c r="B19" s="36">
        <v>0.78</v>
      </c>
      <c r="C19" s="36">
        <v>0.52</v>
      </c>
      <c r="D19" s="36">
        <v>0.48</v>
      </c>
      <c r="E19" s="36">
        <v>0.91</v>
      </c>
      <c r="F19" s="36">
        <v>0.46</v>
      </c>
    </row>
    <row r="20">
      <c r="B20" s="36">
        <v>0.68</v>
      </c>
      <c r="C20" s="36">
        <v>0.47</v>
      </c>
      <c r="D20" s="36">
        <v>0.8</v>
      </c>
      <c r="E20" s="36">
        <v>0.89</v>
      </c>
      <c r="F20" s="36">
        <v>0.65</v>
      </c>
    </row>
    <row r="21">
      <c r="B21" s="36">
        <v>0.8</v>
      </c>
      <c r="C21" s="36">
        <v>0.75</v>
      </c>
      <c r="D21" s="36">
        <v>0.67</v>
      </c>
      <c r="E21" s="36">
        <v>0.9</v>
      </c>
      <c r="F21" s="36">
        <v>0.68</v>
      </c>
    </row>
    <row r="22">
      <c r="B22" s="36">
        <v>0.64</v>
      </c>
      <c r="C22" s="36">
        <v>0.52</v>
      </c>
      <c r="D22" s="36">
        <v>0.79</v>
      </c>
      <c r="E22" s="36">
        <v>0.92</v>
      </c>
      <c r="F22" s="36">
        <v>0.63</v>
      </c>
    </row>
    <row r="23">
      <c r="B23" s="36">
        <v>0.82</v>
      </c>
      <c r="C23" s="36">
        <v>0.57</v>
      </c>
      <c r="D23" s="36">
        <v>0.58</v>
      </c>
      <c r="E23" s="36">
        <v>0.89</v>
      </c>
      <c r="F23" s="36">
        <v>0.55</v>
      </c>
    </row>
    <row r="24">
      <c r="B24" s="36">
        <v>0.62</v>
      </c>
      <c r="C24" s="36">
        <v>0.75</v>
      </c>
      <c r="D24" s="36">
        <v>0.04</v>
      </c>
      <c r="E24" s="36">
        <v>0.92</v>
      </c>
      <c r="F24" s="36">
        <v>0.48</v>
      </c>
    </row>
    <row r="25">
      <c r="B25" s="36">
        <v>0.77</v>
      </c>
      <c r="C25" s="36">
        <v>0.46</v>
      </c>
      <c r="D25" s="36">
        <v>0.47</v>
      </c>
      <c r="E25" s="36">
        <v>0.86</v>
      </c>
      <c r="F25" s="36">
        <v>0.56</v>
      </c>
    </row>
    <row r="26">
      <c r="B26" s="36">
        <v>0.83</v>
      </c>
      <c r="C26" s="36">
        <v>0.77</v>
      </c>
      <c r="D26" s="36">
        <v>0.76</v>
      </c>
      <c r="E26" s="36">
        <v>0.88</v>
      </c>
      <c r="F26" s="36">
        <v>0.71</v>
      </c>
    </row>
    <row r="27">
      <c r="B27" s="36">
        <v>0.69</v>
      </c>
      <c r="C27" s="36">
        <v>0.18</v>
      </c>
      <c r="D27" s="36">
        <v>0.73</v>
      </c>
      <c r="E27" s="36">
        <v>0.9</v>
      </c>
      <c r="F27" s="36">
        <v>0.54</v>
      </c>
    </row>
    <row r="28">
      <c r="B28" s="36">
        <v>0.73</v>
      </c>
      <c r="C28" s="36">
        <v>0.1</v>
      </c>
      <c r="D28" s="36">
        <v>0.41</v>
      </c>
      <c r="E28" s="36">
        <v>0.92</v>
      </c>
      <c r="F28" s="36">
        <v>0.81</v>
      </c>
    </row>
    <row r="29">
      <c r="B29" s="36">
        <v>0.74</v>
      </c>
      <c r="C29" s="36">
        <v>0.66</v>
      </c>
      <c r="D29" s="36">
        <v>0.37</v>
      </c>
      <c r="E29" s="36">
        <v>0.9</v>
      </c>
      <c r="F29" s="36">
        <v>0.64</v>
      </c>
    </row>
    <row r="30">
      <c r="B30" s="36">
        <v>0.85</v>
      </c>
      <c r="C30" s="36">
        <v>0.52</v>
      </c>
      <c r="D30" s="36">
        <v>0.46</v>
      </c>
      <c r="E30" s="36">
        <v>0.86</v>
      </c>
      <c r="F30" s="36">
        <v>0.52</v>
      </c>
    </row>
    <row r="31">
      <c r="B31" s="36">
        <v>0.77</v>
      </c>
      <c r="C31" s="36">
        <v>0.53</v>
      </c>
      <c r="D31" s="36">
        <v>0.82</v>
      </c>
      <c r="E31" s="36">
        <v>0.82</v>
      </c>
      <c r="F31" s="36">
        <v>0.73</v>
      </c>
    </row>
    <row r="32">
      <c r="B32" s="36">
        <v>0.81</v>
      </c>
      <c r="C32" s="36">
        <v>0.57</v>
      </c>
      <c r="D32" s="36">
        <v>0.51</v>
      </c>
      <c r="E32" s="36">
        <v>0.92</v>
      </c>
      <c r="F32" s="36">
        <v>0.53</v>
      </c>
    </row>
    <row r="33">
      <c r="B33" s="36">
        <v>0.78</v>
      </c>
      <c r="C33" s="36">
        <v>0.67</v>
      </c>
      <c r="D33" s="36">
        <v>0.61</v>
      </c>
      <c r="E33" s="36">
        <v>0.88</v>
      </c>
      <c r="F33" s="36">
        <v>0.76</v>
      </c>
    </row>
    <row r="34">
      <c r="B34" s="36">
        <v>0.79</v>
      </c>
      <c r="C34" s="36">
        <v>0.34</v>
      </c>
      <c r="D34" s="36">
        <v>0.53</v>
      </c>
      <c r="E34" s="36">
        <v>0.86</v>
      </c>
      <c r="F34" s="36">
        <v>0.81</v>
      </c>
    </row>
    <row r="35">
      <c r="B35" s="36">
        <v>0.61</v>
      </c>
      <c r="C35" s="36">
        <v>0.69</v>
      </c>
      <c r="D35" s="36">
        <v>0.03</v>
      </c>
      <c r="E35" s="36">
        <v>0.84</v>
      </c>
      <c r="F35" s="36">
        <v>0.47</v>
      </c>
    </row>
    <row r="36">
      <c r="B36" s="36">
        <v>0.78</v>
      </c>
      <c r="C36" s="36">
        <v>0.53</v>
      </c>
      <c r="D36" s="36">
        <v>0.03</v>
      </c>
      <c r="E36" s="36">
        <v>0.88</v>
      </c>
      <c r="F36" s="36">
        <v>0.83</v>
      </c>
    </row>
    <row r="37">
      <c r="B37" s="36">
        <v>0.82</v>
      </c>
      <c r="C37" s="36">
        <v>0.32</v>
      </c>
      <c r="D37" s="36">
        <v>0.56</v>
      </c>
      <c r="E37" s="36">
        <v>0.91</v>
      </c>
      <c r="F37" s="36">
        <v>0.58</v>
      </c>
    </row>
    <row r="38">
      <c r="B38" s="36">
        <v>0.81</v>
      </c>
      <c r="C38" s="36">
        <v>0.69</v>
      </c>
      <c r="D38" s="36">
        <v>0.03</v>
      </c>
      <c r="E38" s="36">
        <v>0.94</v>
      </c>
      <c r="F38" s="36">
        <v>0.54</v>
      </c>
    </row>
    <row r="39">
      <c r="B39" s="36">
        <v>0.78</v>
      </c>
      <c r="C39" s="36">
        <v>0.62</v>
      </c>
      <c r="D39" s="36">
        <v>0.68</v>
      </c>
      <c r="E39" s="36">
        <v>0.92</v>
      </c>
      <c r="F39" s="36">
        <v>0.51</v>
      </c>
    </row>
    <row r="40">
      <c r="B40" s="36">
        <v>0.82</v>
      </c>
      <c r="C40" s="36">
        <v>0.77</v>
      </c>
      <c r="D40" s="36">
        <v>0.56</v>
      </c>
      <c r="E40" s="36">
        <v>0.93</v>
      </c>
      <c r="F40" s="36">
        <v>0.64</v>
      </c>
    </row>
    <row r="41">
      <c r="B41" s="36">
        <v>0.73</v>
      </c>
      <c r="C41" s="36">
        <v>0.4</v>
      </c>
      <c r="D41" s="36">
        <v>0.41</v>
      </c>
      <c r="E41" s="36">
        <v>0.9</v>
      </c>
      <c r="F41" s="36">
        <v>0.67</v>
      </c>
    </row>
    <row r="42">
      <c r="B42" s="36">
        <v>0.81</v>
      </c>
      <c r="C42" s="36">
        <v>0.44</v>
      </c>
      <c r="D42" s="36">
        <v>0.79</v>
      </c>
      <c r="E42" s="36">
        <v>0.9</v>
      </c>
      <c r="F42" s="36">
        <v>0.64</v>
      </c>
    </row>
    <row r="43">
      <c r="B43" s="36">
        <v>0.71</v>
      </c>
      <c r="C43" s="36">
        <v>0.1</v>
      </c>
      <c r="D43" s="36">
        <v>0.57</v>
      </c>
      <c r="E43" s="36">
        <v>0.87</v>
      </c>
      <c r="F43" s="36">
        <v>0.55</v>
      </c>
    </row>
    <row r="44">
      <c r="B44" s="36">
        <v>0.81</v>
      </c>
      <c r="C44" s="36">
        <v>0.7</v>
      </c>
      <c r="D44" s="36">
        <v>0.47</v>
      </c>
      <c r="E44" s="36">
        <v>0.91</v>
      </c>
      <c r="F44" s="36">
        <v>0.41</v>
      </c>
    </row>
    <row r="45">
      <c r="B45" s="36">
        <v>0.76</v>
      </c>
      <c r="C45" s="36">
        <v>0.42</v>
      </c>
      <c r="D45" s="36">
        <v>0.38</v>
      </c>
      <c r="E45" s="36">
        <v>0.9</v>
      </c>
      <c r="F45" s="36">
        <v>0.74</v>
      </c>
    </row>
    <row r="46">
      <c r="B46" s="36">
        <v>0.83</v>
      </c>
      <c r="C46" s="36">
        <v>0.7</v>
      </c>
      <c r="D46" s="36">
        <v>0.77</v>
      </c>
      <c r="E46" s="36">
        <v>0.82</v>
      </c>
      <c r="F46" s="36">
        <v>0.7</v>
      </c>
    </row>
    <row r="47">
      <c r="B47" s="36">
        <v>0.72</v>
      </c>
      <c r="C47" s="36">
        <v>0.54</v>
      </c>
      <c r="D47" s="36">
        <v>0.15</v>
      </c>
      <c r="E47" s="36">
        <v>0.91</v>
      </c>
      <c r="F47" s="36">
        <v>0.59</v>
      </c>
    </row>
    <row r="48">
      <c r="B48" s="36">
        <v>0.72</v>
      </c>
      <c r="C48" s="36">
        <v>0.66</v>
      </c>
      <c r="D48" s="36">
        <v>0.3</v>
      </c>
      <c r="E48" s="36">
        <v>0.9</v>
      </c>
      <c r="F48" s="36">
        <v>0.52</v>
      </c>
    </row>
    <row r="49">
      <c r="B49" s="36">
        <v>0.82</v>
      </c>
      <c r="C49" s="36">
        <v>0.67</v>
      </c>
      <c r="D49" s="36">
        <v>0.44</v>
      </c>
      <c r="E49" s="36">
        <v>0.84</v>
      </c>
      <c r="F49" s="36">
        <v>0.67</v>
      </c>
    </row>
    <row r="50">
      <c r="B50" s="36">
        <v>0.73</v>
      </c>
      <c r="C50" s="36">
        <v>0.66</v>
      </c>
      <c r="D50" s="36">
        <v>1.04</v>
      </c>
      <c r="E50" s="36">
        <v>0.9</v>
      </c>
      <c r="F50" s="36">
        <v>0.69</v>
      </c>
    </row>
    <row r="51">
      <c r="B51" s="36">
        <v>0.64</v>
      </c>
      <c r="C51" s="36">
        <v>0.4</v>
      </c>
      <c r="D51" s="36">
        <v>0.77</v>
      </c>
      <c r="E51" s="36">
        <v>0.89</v>
      </c>
      <c r="F51" s="36">
        <v>0.68</v>
      </c>
    </row>
    <row r="52">
      <c r="B52" s="36">
        <v>0.9</v>
      </c>
      <c r="C52" s="36">
        <v>0.18</v>
      </c>
      <c r="D52" s="36">
        <v>0.48</v>
      </c>
      <c r="E52" s="36">
        <v>0.92</v>
      </c>
      <c r="F52" s="36">
        <v>0.7</v>
      </c>
    </row>
    <row r="53">
      <c r="B53" s="36">
        <v>0.81</v>
      </c>
      <c r="C53" s="36">
        <v>0.57</v>
      </c>
      <c r="D53" s="36">
        <v>0.04</v>
      </c>
      <c r="E53" s="36">
        <v>0.87</v>
      </c>
      <c r="F53" s="36">
        <v>0.48</v>
      </c>
    </row>
    <row r="54">
      <c r="B54" s="36">
        <v>0.82</v>
      </c>
      <c r="C54" s="36">
        <v>0.71</v>
      </c>
      <c r="D54" s="36">
        <v>0.03</v>
      </c>
      <c r="E54" s="36">
        <v>0.92</v>
      </c>
      <c r="F54" s="36">
        <v>0.65</v>
      </c>
    </row>
    <row r="55">
      <c r="B55" s="36">
        <v>0.78</v>
      </c>
      <c r="C55" s="36">
        <v>0.61</v>
      </c>
      <c r="D55" s="36">
        <v>0.35</v>
      </c>
      <c r="E55" s="36">
        <v>0.84</v>
      </c>
      <c r="F55" s="36">
        <v>0.7</v>
      </c>
    </row>
    <row r="56">
      <c r="B56" s="36">
        <v>0.71</v>
      </c>
      <c r="C56" s="36">
        <v>0.39</v>
      </c>
      <c r="D56" s="36">
        <v>0.03</v>
      </c>
      <c r="E56" s="36">
        <v>0.9</v>
      </c>
      <c r="F56" s="36">
        <v>0.51</v>
      </c>
    </row>
    <row r="57">
      <c r="B57" s="36">
        <v>0.82</v>
      </c>
      <c r="C57" s="36">
        <v>0.32</v>
      </c>
      <c r="D57" s="36">
        <v>-0.04</v>
      </c>
      <c r="E57" s="36">
        <v>0.91</v>
      </c>
      <c r="F57" s="36">
        <v>0.59</v>
      </c>
    </row>
    <row r="58">
      <c r="B58" s="36">
        <v>0.85</v>
      </c>
      <c r="C58" s="36">
        <v>0.73</v>
      </c>
      <c r="D58" s="36">
        <v>0.61</v>
      </c>
      <c r="E58" s="36">
        <v>0.87</v>
      </c>
      <c r="F58" s="36">
        <v>0.66</v>
      </c>
    </row>
    <row r="59">
      <c r="B59" s="36">
        <v>0.87</v>
      </c>
      <c r="C59" s="36">
        <v>0.13</v>
      </c>
      <c r="D59" s="36">
        <v>0.55</v>
      </c>
      <c r="E59" s="36">
        <v>0.87</v>
      </c>
      <c r="F59" s="36">
        <v>0.6</v>
      </c>
    </row>
    <row r="60">
      <c r="B60" s="36">
        <v>0.51</v>
      </c>
      <c r="C60" s="36">
        <v>0.63</v>
      </c>
      <c r="D60" s="36">
        <v>0.67</v>
      </c>
      <c r="E60" s="36">
        <v>0.88</v>
      </c>
      <c r="F60" s="36">
        <v>0.55</v>
      </c>
    </row>
    <row r="61">
      <c r="B61" s="36">
        <v>0.63</v>
      </c>
      <c r="C61" s="36">
        <v>0.62</v>
      </c>
      <c r="D61" s="36">
        <v>0.44</v>
      </c>
      <c r="E61" s="36">
        <v>0.94</v>
      </c>
      <c r="F61" s="36">
        <v>0.61</v>
      </c>
    </row>
    <row r="62">
      <c r="B62" s="36">
        <v>0.8</v>
      </c>
      <c r="C62" s="36">
        <v>0.23</v>
      </c>
      <c r="D62" s="36">
        <v>0.04</v>
      </c>
      <c r="E62" s="36">
        <v>0.88</v>
      </c>
      <c r="F62" s="36">
        <v>0.71</v>
      </c>
    </row>
    <row r="63">
      <c r="B63" s="36">
        <v>0.74</v>
      </c>
      <c r="C63" s="36">
        <v>0.56</v>
      </c>
      <c r="D63" s="36">
        <v>0.62</v>
      </c>
      <c r="E63" s="36">
        <v>0.9</v>
      </c>
      <c r="F63" s="36">
        <v>0.75</v>
      </c>
    </row>
    <row r="64">
      <c r="B64" s="36">
        <v>0.84</v>
      </c>
      <c r="C64" s="36">
        <v>0.69</v>
      </c>
      <c r="D64" s="36">
        <v>0.61</v>
      </c>
      <c r="E64" s="36">
        <v>0.87</v>
      </c>
      <c r="F64" s="36">
        <v>0.64</v>
      </c>
    </row>
    <row r="65">
      <c r="B65" s="36">
        <v>0.76</v>
      </c>
      <c r="C65" s="36">
        <v>0.38</v>
      </c>
      <c r="D65" s="36">
        <v>0.04</v>
      </c>
      <c r="E65" s="36">
        <v>0.92</v>
      </c>
      <c r="F65" s="36">
        <v>0.64</v>
      </c>
    </row>
    <row r="66">
      <c r="B66" s="36">
        <v>0.55</v>
      </c>
      <c r="C66" s="36">
        <v>0.19</v>
      </c>
      <c r="D66" s="36">
        <v>0.63</v>
      </c>
      <c r="E66" s="36">
        <v>0.91</v>
      </c>
      <c r="F66" s="36">
        <v>0.76</v>
      </c>
    </row>
    <row r="67">
      <c r="B67" s="36">
        <v>0.46</v>
      </c>
      <c r="C67" s="36">
        <v>0.59</v>
      </c>
      <c r="D67" s="36">
        <v>0.04</v>
      </c>
      <c r="E67" s="36">
        <v>0.88</v>
      </c>
      <c r="F67" s="36">
        <v>0.7</v>
      </c>
    </row>
    <row r="68">
      <c r="B68" s="36">
        <v>0.81</v>
      </c>
      <c r="C68" s="36">
        <v>0.57</v>
      </c>
      <c r="D68" s="36">
        <v>0.55</v>
      </c>
      <c r="E68" s="36">
        <v>0.93</v>
      </c>
      <c r="F68" s="36">
        <v>0.55</v>
      </c>
    </row>
    <row r="69">
      <c r="B69" s="36">
        <v>0.78</v>
      </c>
      <c r="C69" s="36">
        <v>0.69</v>
      </c>
      <c r="D69" s="36">
        <v>0.17</v>
      </c>
      <c r="E69" s="36">
        <v>0.9</v>
      </c>
      <c r="F69" s="36">
        <v>0.69</v>
      </c>
    </row>
    <row r="70">
      <c r="B70" s="36">
        <v>0.79</v>
      </c>
      <c r="C70" s="36">
        <v>0.66</v>
      </c>
      <c r="D70" s="36">
        <v>0.44</v>
      </c>
      <c r="E70" s="36">
        <v>0.89</v>
      </c>
      <c r="F70" s="36">
        <v>0.66</v>
      </c>
    </row>
    <row r="71">
      <c r="B71" s="36">
        <v>0.75</v>
      </c>
      <c r="C71" s="36">
        <v>0.8</v>
      </c>
      <c r="D71" s="36">
        <v>0.02</v>
      </c>
      <c r="E71" s="36">
        <v>0.89</v>
      </c>
      <c r="F71" s="36">
        <v>0.51</v>
      </c>
    </row>
    <row r="72">
      <c r="B72" s="36">
        <v>0.81</v>
      </c>
      <c r="C72" s="36">
        <v>0.35</v>
      </c>
      <c r="D72" s="36">
        <v>0.75</v>
      </c>
      <c r="E72" s="36">
        <v>0.91</v>
      </c>
      <c r="F72" s="36">
        <v>0.75</v>
      </c>
    </row>
    <row r="73">
      <c r="B73" s="36">
        <v>0.69</v>
      </c>
      <c r="C73" s="36">
        <v>0.31</v>
      </c>
      <c r="D73" s="36">
        <v>0.03</v>
      </c>
      <c r="E73" s="36">
        <v>0.91</v>
      </c>
      <c r="F73" s="36">
        <v>0.79</v>
      </c>
    </row>
    <row r="74">
      <c r="B74" s="36">
        <v>0.8</v>
      </c>
      <c r="C74" s="36">
        <v>-0.03</v>
      </c>
      <c r="D74" s="36">
        <v>0.02</v>
      </c>
      <c r="E74" s="36">
        <v>0.91</v>
      </c>
      <c r="F74" s="36">
        <v>0.57</v>
      </c>
    </row>
    <row r="75">
      <c r="B75" s="36">
        <v>0.82</v>
      </c>
      <c r="C75" s="36">
        <v>-0.04</v>
      </c>
      <c r="D75" s="36">
        <v>0.51</v>
      </c>
      <c r="E75" s="36">
        <v>0.93</v>
      </c>
      <c r="F75" s="36">
        <v>0.6</v>
      </c>
    </row>
    <row r="76">
      <c r="B76" s="36">
        <v>0.66</v>
      </c>
      <c r="C76" s="36">
        <v>0.34</v>
      </c>
      <c r="D76" s="36">
        <v>0.02</v>
      </c>
      <c r="E76" s="36">
        <v>0.56</v>
      </c>
      <c r="F76" s="36">
        <v>0.67</v>
      </c>
    </row>
    <row r="77">
      <c r="B77" s="36">
        <v>0.68</v>
      </c>
      <c r="C77" s="36">
        <v>0.56</v>
      </c>
      <c r="D77" s="36">
        <v>0.02</v>
      </c>
      <c r="E77" s="36">
        <v>0.87</v>
      </c>
      <c r="F77" s="36">
        <v>0.58</v>
      </c>
    </row>
    <row r="78">
      <c r="B78" s="36">
        <v>0.8</v>
      </c>
      <c r="C78" s="36">
        <v>0.66</v>
      </c>
      <c r="D78" s="36">
        <v>0.03</v>
      </c>
      <c r="E78" s="36">
        <v>0.91</v>
      </c>
      <c r="F78" s="36">
        <v>0.72</v>
      </c>
    </row>
    <row r="79">
      <c r="B79" s="36">
        <v>0.87</v>
      </c>
      <c r="C79" s="36">
        <v>0.55</v>
      </c>
      <c r="D79" s="36">
        <v>0.76</v>
      </c>
      <c r="E79" s="36">
        <v>0.85</v>
      </c>
      <c r="F79" s="36">
        <v>0.61</v>
      </c>
    </row>
    <row r="80">
      <c r="B80" s="36">
        <v>0.67</v>
      </c>
      <c r="C80" s="36">
        <v>0.54</v>
      </c>
      <c r="D80" s="36">
        <v>0.02</v>
      </c>
      <c r="E80" s="36">
        <v>0.83</v>
      </c>
      <c r="F80" s="36">
        <v>0.7</v>
      </c>
    </row>
    <row r="81">
      <c r="B81" s="36">
        <v>0.49</v>
      </c>
      <c r="C81" s="36">
        <v>0.57</v>
      </c>
      <c r="D81" s="36">
        <v>0.38</v>
      </c>
      <c r="E81" s="36">
        <v>0.83</v>
      </c>
      <c r="F81" s="36">
        <v>0.66</v>
      </c>
    </row>
    <row r="82">
      <c r="B82" s="36">
        <v>0.87</v>
      </c>
      <c r="C82" s="36">
        <v>0.53</v>
      </c>
      <c r="D82" s="36">
        <v>0.56</v>
      </c>
      <c r="E82" s="36">
        <v>0.83</v>
      </c>
      <c r="F82" s="36">
        <v>0.64</v>
      </c>
    </row>
    <row r="83">
      <c r="B83" s="36">
        <v>0.82</v>
      </c>
      <c r="C83" s="36">
        <v>0.63</v>
      </c>
      <c r="D83" s="36">
        <v>0.6</v>
      </c>
      <c r="E83" s="36">
        <v>0.75</v>
      </c>
      <c r="F83" s="36">
        <v>0.72</v>
      </c>
    </row>
    <row r="84">
      <c r="B84" s="36">
        <v>0.74</v>
      </c>
      <c r="C84" s="36">
        <v>0.79</v>
      </c>
      <c r="D84" s="36">
        <v>0.47</v>
      </c>
      <c r="E84" s="36">
        <v>0.77</v>
      </c>
      <c r="F84" s="36">
        <v>0.58</v>
      </c>
    </row>
    <row r="85">
      <c r="B85" s="36">
        <v>0.78</v>
      </c>
      <c r="C85" s="36">
        <v>0.62</v>
      </c>
      <c r="D85" s="36">
        <v>0.42</v>
      </c>
      <c r="E85" s="36">
        <v>0.91</v>
      </c>
      <c r="F85" s="36">
        <v>0.66</v>
      </c>
    </row>
    <row r="86">
      <c r="B86" s="36">
        <v>0.83</v>
      </c>
      <c r="C86" s="36">
        <v>0.64</v>
      </c>
      <c r="D86" s="36">
        <v>0.95</v>
      </c>
      <c r="E86" s="36">
        <v>0.92</v>
      </c>
      <c r="F86" s="36">
        <v>0.62</v>
      </c>
    </row>
    <row r="87">
      <c r="B87" s="36">
        <v>0.72</v>
      </c>
      <c r="C87" s="36">
        <v>0.19</v>
      </c>
      <c r="D87" s="36">
        <v>0.71</v>
      </c>
      <c r="E87" s="36">
        <v>0.87</v>
      </c>
      <c r="F87" s="36">
        <v>0.68</v>
      </c>
    </row>
    <row r="88">
      <c r="B88" s="36">
        <v>0.69</v>
      </c>
      <c r="C88" s="36">
        <v>0.64</v>
      </c>
      <c r="D88" s="36">
        <v>0.59</v>
      </c>
      <c r="E88" s="36">
        <v>0.89</v>
      </c>
      <c r="F88" s="36">
        <v>0.2</v>
      </c>
    </row>
    <row r="89">
      <c r="B89" s="36">
        <v>0.79</v>
      </c>
      <c r="C89" s="36">
        <v>0.77</v>
      </c>
      <c r="D89" s="36">
        <v>0.36</v>
      </c>
      <c r="E89" s="36">
        <v>0.89</v>
      </c>
      <c r="F89" s="36">
        <v>0.67</v>
      </c>
    </row>
    <row r="90">
      <c r="B90" s="36">
        <v>0.79</v>
      </c>
      <c r="C90" s="36">
        <v>0.71</v>
      </c>
      <c r="D90" s="36">
        <v>0.38</v>
      </c>
      <c r="E90" s="36">
        <v>0.81</v>
      </c>
      <c r="F90" s="36">
        <v>0.77</v>
      </c>
    </row>
    <row r="91">
      <c r="B91" s="36">
        <v>0.85</v>
      </c>
      <c r="C91" s="36">
        <v>0.61</v>
      </c>
      <c r="D91" s="36">
        <v>0.44</v>
      </c>
      <c r="E91" s="36">
        <v>0.9</v>
      </c>
      <c r="F91" s="36">
        <v>0.55</v>
      </c>
    </row>
    <row r="92">
      <c r="B92" s="36">
        <v>0.74</v>
      </c>
      <c r="C92" s="36">
        <v>0.6</v>
      </c>
      <c r="D92" s="36">
        <v>0.66</v>
      </c>
      <c r="E92" s="36">
        <v>0.81</v>
      </c>
      <c r="F92" s="36">
        <v>0.69</v>
      </c>
    </row>
    <row r="93">
      <c r="B93" s="36">
        <v>0.79</v>
      </c>
      <c r="C93" s="36">
        <v>0.52</v>
      </c>
      <c r="D93" s="36">
        <v>0.39</v>
      </c>
      <c r="E93" s="36">
        <v>0.93</v>
      </c>
      <c r="F93" s="36">
        <v>0.77</v>
      </c>
    </row>
    <row r="94">
      <c r="B94" s="36">
        <v>0.61</v>
      </c>
      <c r="C94" s="36">
        <v>-0.09</v>
      </c>
      <c r="D94" s="36">
        <v>0.3</v>
      </c>
      <c r="E94" s="36">
        <v>0.89</v>
      </c>
      <c r="F94" s="36">
        <v>0.74</v>
      </c>
    </row>
    <row r="95">
      <c r="B95" s="36">
        <v>0.68</v>
      </c>
      <c r="C95" s="36">
        <v>0.3</v>
      </c>
      <c r="D95" s="36">
        <v>0.55</v>
      </c>
      <c r="E95" s="36">
        <v>0.9</v>
      </c>
      <c r="F95" s="36">
        <v>0.57</v>
      </c>
    </row>
    <row r="96">
      <c r="B96" s="36">
        <v>0.63</v>
      </c>
      <c r="C96" s="36">
        <v>0.35</v>
      </c>
      <c r="D96" s="36">
        <v>0.55</v>
      </c>
      <c r="E96" s="36">
        <v>0.89</v>
      </c>
      <c r="F96" s="36">
        <v>0.7</v>
      </c>
    </row>
    <row r="97">
      <c r="B97" s="36">
        <v>0.8</v>
      </c>
      <c r="C97" s="36">
        <v>0.64</v>
      </c>
      <c r="D97" s="36">
        <v>0.24</v>
      </c>
      <c r="E97" s="36">
        <v>0.9</v>
      </c>
      <c r="F97" s="36">
        <v>0.67</v>
      </c>
    </row>
    <row r="98">
      <c r="B98" s="36">
        <v>0.84</v>
      </c>
      <c r="C98" s="36">
        <v>0.1</v>
      </c>
      <c r="D98" s="36">
        <v>0.62</v>
      </c>
      <c r="E98" s="36">
        <v>0.91</v>
      </c>
      <c r="F98" s="36">
        <v>0.74</v>
      </c>
    </row>
    <row r="99">
      <c r="B99" s="36">
        <v>0.8</v>
      </c>
      <c r="C99" s="36">
        <v>0.65</v>
      </c>
      <c r="D99" s="36">
        <v>0.43</v>
      </c>
      <c r="E99" s="36">
        <v>0.83</v>
      </c>
      <c r="F99" s="36">
        <v>0.62</v>
      </c>
    </row>
    <row r="100">
      <c r="B100" s="36">
        <v>0.85</v>
      </c>
      <c r="C100" s="36">
        <v>0.33</v>
      </c>
      <c r="D100" s="36">
        <v>0.45</v>
      </c>
      <c r="E100" s="36">
        <v>0.91</v>
      </c>
      <c r="F100" s="36">
        <v>0.52</v>
      </c>
    </row>
    <row r="101">
      <c r="B101" s="36">
        <v>0.83</v>
      </c>
      <c r="C101" s="36">
        <v>0.46</v>
      </c>
      <c r="D101" s="36">
        <v>0.42</v>
      </c>
      <c r="E101" s="36">
        <v>0.94</v>
      </c>
      <c r="F101" s="36">
        <v>0.49</v>
      </c>
    </row>
    <row r="102">
      <c r="B102" s="36">
        <v>0.69</v>
      </c>
      <c r="C102" s="36">
        <v>-0.08</v>
      </c>
      <c r="D102" s="36">
        <v>0.36</v>
      </c>
      <c r="E102" s="36">
        <v>0.89</v>
      </c>
      <c r="F102" s="36">
        <v>0.7</v>
      </c>
    </row>
    <row r="103">
      <c r="B103" s="37">
        <v>0.57</v>
      </c>
      <c r="C103" s="37">
        <v>0.28</v>
      </c>
      <c r="D103" s="37">
        <v>0.58</v>
      </c>
      <c r="E103" s="37">
        <v>0.91</v>
      </c>
      <c r="F103" s="37">
        <v>0.67</v>
      </c>
    </row>
    <row r="106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>
      <c r="B108" s="40" t="s">
        <v>8</v>
      </c>
      <c r="C108" s="41">
        <v>0.7502</v>
      </c>
      <c r="D108" s="41">
        <v>0.1014</v>
      </c>
      <c r="E108" s="41">
        <v>0.78</v>
      </c>
      <c r="F108" s="41">
        <v>0.7303</v>
      </c>
      <c r="G108" s="41">
        <v>0.7701</v>
      </c>
      <c r="H108" s="42">
        <v>0.24</v>
      </c>
      <c r="I108" s="42">
        <v>0.9</v>
      </c>
      <c r="J108" s="43">
        <v>13.5</v>
      </c>
    </row>
    <row r="109">
      <c r="B109" s="40" t="s">
        <v>7</v>
      </c>
      <c r="C109" s="41">
        <v>0.4997</v>
      </c>
      <c r="D109" s="41">
        <v>0.2148</v>
      </c>
      <c r="E109" s="41">
        <v>0.56</v>
      </c>
      <c r="F109" s="41">
        <v>0.4576</v>
      </c>
      <c r="G109" s="41">
        <v>0.5418</v>
      </c>
      <c r="H109" s="42">
        <v>-0.09</v>
      </c>
      <c r="I109" s="42">
        <v>0.83</v>
      </c>
      <c r="J109" s="43">
        <v>43.0</v>
      </c>
    </row>
    <row r="110">
      <c r="B110" s="40" t="s">
        <v>9</v>
      </c>
      <c r="C110" s="41">
        <v>0.4396</v>
      </c>
      <c r="D110" s="41">
        <v>0.2711</v>
      </c>
      <c r="E110" s="41">
        <v>0.47</v>
      </c>
      <c r="F110" s="41">
        <v>0.3865</v>
      </c>
      <c r="G110" s="41">
        <v>0.4927</v>
      </c>
      <c r="H110" s="42">
        <v>-0.04</v>
      </c>
      <c r="I110" s="42">
        <v>1.04</v>
      </c>
      <c r="J110" s="43">
        <v>61.7</v>
      </c>
    </row>
    <row r="111">
      <c r="B111" s="40" t="s">
        <v>11</v>
      </c>
      <c r="C111" s="41">
        <v>0.8834</v>
      </c>
      <c r="D111" s="41">
        <v>0.0508</v>
      </c>
      <c r="E111" s="41">
        <v>0.9</v>
      </c>
      <c r="F111" s="41">
        <v>0.8735</v>
      </c>
      <c r="G111" s="41">
        <v>0.8933</v>
      </c>
      <c r="H111" s="42">
        <v>0.56</v>
      </c>
      <c r="I111" s="42">
        <v>0.94</v>
      </c>
      <c r="J111" s="43">
        <v>5.7</v>
      </c>
    </row>
    <row r="112">
      <c r="B112" s="44" t="s">
        <v>10</v>
      </c>
      <c r="C112" s="45">
        <v>0.6407</v>
      </c>
      <c r="D112" s="45">
        <v>0.1051</v>
      </c>
      <c r="E112" s="45">
        <v>0.66</v>
      </c>
      <c r="F112" s="45">
        <v>0.6201</v>
      </c>
      <c r="G112" s="45">
        <v>0.6613</v>
      </c>
      <c r="H112" s="46">
        <v>0.2</v>
      </c>
      <c r="I112" s="47">
        <v>0.83</v>
      </c>
      <c r="J112" s="48">
        <v>16.4</v>
      </c>
    </row>
    <row r="113">
      <c r="B113" s="40"/>
      <c r="C113" s="41"/>
      <c r="D113" s="41"/>
      <c r="E113" s="41"/>
      <c r="F113" s="41"/>
      <c r="G113" s="41"/>
      <c r="H113" s="42"/>
      <c r="I113" s="42"/>
      <c r="J113" s="43"/>
    </row>
    <row r="114">
      <c r="B114" s="49"/>
      <c r="C114" s="49"/>
      <c r="D114" s="49"/>
      <c r="E114" s="49"/>
      <c r="F114" s="49"/>
      <c r="G114" s="49"/>
      <c r="H114" s="49"/>
      <c r="I114" s="49"/>
      <c r="J114" s="49"/>
    </row>
    <row r="115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>
      <c r="B117" s="45">
        <v>47.6187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>
      <c r="B118" s="41"/>
      <c r="C118" s="42"/>
      <c r="D118" s="52"/>
      <c r="E118" s="49"/>
      <c r="F118" s="49"/>
      <c r="G118" s="49"/>
      <c r="H118" s="49"/>
      <c r="I118" s="49"/>
      <c r="J118" s="49"/>
    </row>
    <row r="119">
      <c r="B119" s="49"/>
      <c r="C119" s="49"/>
      <c r="D119" s="49"/>
      <c r="E119" s="49"/>
      <c r="F119" s="49"/>
      <c r="G119" s="49"/>
      <c r="H119" s="49"/>
      <c r="I119" s="49"/>
      <c r="J119" s="49"/>
    </row>
    <row r="120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>
      <c r="B122" s="47">
        <v>221.9015</v>
      </c>
      <c r="C122" s="47">
        <v>4.0</v>
      </c>
      <c r="D122" s="47">
        <v>10.0</v>
      </c>
      <c r="E122" s="50" t="s">
        <v>35</v>
      </c>
      <c r="F122" s="51" t="s">
        <v>41</v>
      </c>
      <c r="G122" s="49"/>
      <c r="H122" s="49"/>
      <c r="I122" s="49"/>
      <c r="J122" s="49"/>
    </row>
    <row r="123">
      <c r="B123" s="42"/>
      <c r="C123" s="42"/>
      <c r="D123" s="42"/>
      <c r="E123" s="42"/>
      <c r="F123" s="52"/>
      <c r="G123" s="49"/>
      <c r="H123" s="49"/>
      <c r="I123" s="49"/>
      <c r="J123" s="49"/>
    </row>
    <row r="124">
      <c r="B124" s="49"/>
      <c r="C124" s="49"/>
      <c r="D124" s="49"/>
      <c r="E124" s="49"/>
      <c r="F124" s="49"/>
      <c r="G124" s="49"/>
      <c r="H124" s="49"/>
      <c r="I124" s="49"/>
      <c r="J124" s="49"/>
    </row>
    <row r="125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>
      <c r="B127" s="40" t="s">
        <v>8</v>
      </c>
      <c r="C127" s="40" t="s">
        <v>7</v>
      </c>
      <c r="D127" s="41">
        <v>0.2505</v>
      </c>
      <c r="E127" s="41">
        <v>0.0238</v>
      </c>
      <c r="F127" s="41">
        <v>0.2035</v>
      </c>
      <c r="G127" s="41">
        <v>0.2975</v>
      </c>
      <c r="H127" s="53" t="s">
        <v>35</v>
      </c>
      <c r="I127" s="52" t="s">
        <v>48</v>
      </c>
      <c r="J127" s="49"/>
    </row>
    <row r="128">
      <c r="B128" s="40" t="s">
        <v>8</v>
      </c>
      <c r="C128" s="40" t="s">
        <v>9</v>
      </c>
      <c r="D128" s="41">
        <v>0.3106</v>
      </c>
      <c r="E128" s="41">
        <v>0.0289</v>
      </c>
      <c r="F128" s="41">
        <v>0.2533</v>
      </c>
      <c r="G128" s="41">
        <v>0.3679</v>
      </c>
      <c r="H128" s="53" t="s">
        <v>35</v>
      </c>
      <c r="I128" s="52" t="s">
        <v>48</v>
      </c>
      <c r="J128" s="49"/>
    </row>
    <row r="129">
      <c r="B129" s="40" t="s">
        <v>8</v>
      </c>
      <c r="C129" s="40" t="s">
        <v>11</v>
      </c>
      <c r="D129" s="41">
        <v>-0.1332</v>
      </c>
      <c r="E129" s="41">
        <v>0.0113</v>
      </c>
      <c r="F129" s="41">
        <v>-0.1556</v>
      </c>
      <c r="G129" s="41">
        <v>-0.1108</v>
      </c>
      <c r="H129" s="53" t="s">
        <v>35</v>
      </c>
      <c r="I129" s="52" t="s">
        <v>48</v>
      </c>
      <c r="J129" s="49"/>
    </row>
    <row r="130">
      <c r="B130" s="40" t="s">
        <v>8</v>
      </c>
      <c r="C130" s="40" t="s">
        <v>10</v>
      </c>
      <c r="D130" s="41">
        <v>0.1095</v>
      </c>
      <c r="E130" s="41">
        <v>0.0146</v>
      </c>
      <c r="F130" s="41">
        <v>0.0807</v>
      </c>
      <c r="G130" s="41">
        <v>0.1383</v>
      </c>
      <c r="H130" s="53" t="s">
        <v>35</v>
      </c>
      <c r="I130" s="52" t="s">
        <v>48</v>
      </c>
      <c r="J130" s="49"/>
    </row>
    <row r="131">
      <c r="B131" s="40" t="s">
        <v>7</v>
      </c>
      <c r="C131" s="40" t="s">
        <v>9</v>
      </c>
      <c r="D131" s="41">
        <v>0.0601</v>
      </c>
      <c r="E131" s="41">
        <v>0.0346</v>
      </c>
      <c r="F131" s="41">
        <v>-0.0081</v>
      </c>
      <c r="G131" s="41">
        <v>0.1283</v>
      </c>
      <c r="H131" s="53">
        <v>0.0839</v>
      </c>
      <c r="I131" s="52" t="s">
        <v>49</v>
      </c>
      <c r="J131" s="49"/>
    </row>
    <row r="132">
      <c r="B132" s="40" t="s">
        <v>7</v>
      </c>
      <c r="C132" s="40" t="s">
        <v>11</v>
      </c>
      <c r="D132" s="41">
        <v>-0.3837</v>
      </c>
      <c r="E132" s="41">
        <v>0.0221</v>
      </c>
      <c r="F132" s="41">
        <v>-0.4274</v>
      </c>
      <c r="G132" s="41">
        <v>-0.34</v>
      </c>
      <c r="H132" s="53" t="s">
        <v>35</v>
      </c>
      <c r="I132" s="52" t="s">
        <v>48</v>
      </c>
      <c r="J132" s="49"/>
    </row>
    <row r="133">
      <c r="B133" s="40" t="s">
        <v>7</v>
      </c>
      <c r="C133" s="40" t="s">
        <v>10</v>
      </c>
      <c r="D133" s="41">
        <v>-0.141</v>
      </c>
      <c r="E133" s="41">
        <v>0.0239</v>
      </c>
      <c r="F133" s="41">
        <v>-0.1883</v>
      </c>
      <c r="G133" s="41">
        <v>-0.0937</v>
      </c>
      <c r="H133" s="53" t="s">
        <v>35</v>
      </c>
      <c r="I133" s="52" t="s">
        <v>48</v>
      </c>
      <c r="J133" s="49"/>
    </row>
    <row r="134">
      <c r="B134" s="40" t="s">
        <v>9</v>
      </c>
      <c r="C134" s="40" t="s">
        <v>11</v>
      </c>
      <c r="D134" s="41">
        <v>-0.4438</v>
      </c>
      <c r="E134" s="41">
        <v>0.0276</v>
      </c>
      <c r="F134" s="41">
        <v>-0.4985</v>
      </c>
      <c r="G134" s="41">
        <v>-0.3891</v>
      </c>
      <c r="H134" s="53" t="s">
        <v>35</v>
      </c>
      <c r="I134" s="52" t="s">
        <v>48</v>
      </c>
      <c r="J134" s="49"/>
    </row>
    <row r="135">
      <c r="B135" s="40" t="s">
        <v>9</v>
      </c>
      <c r="C135" s="40" t="s">
        <v>10</v>
      </c>
      <c r="D135" s="41">
        <v>-0.2011</v>
      </c>
      <c r="E135" s="41">
        <v>0.0291</v>
      </c>
      <c r="F135" s="41">
        <v>-0.2586</v>
      </c>
      <c r="G135" s="41">
        <v>-0.1436</v>
      </c>
      <c r="H135" s="53" t="s">
        <v>35</v>
      </c>
      <c r="I135" s="52" t="s">
        <v>48</v>
      </c>
      <c r="J135" s="49"/>
    </row>
    <row r="136">
      <c r="B136" s="44" t="s">
        <v>11</v>
      </c>
      <c r="C136" s="44" t="s">
        <v>10</v>
      </c>
      <c r="D136" s="45">
        <v>0.2427</v>
      </c>
      <c r="E136" s="45">
        <v>0.0117</v>
      </c>
      <c r="F136" s="45">
        <v>0.2196</v>
      </c>
      <c r="G136" s="45">
        <v>0.2658</v>
      </c>
      <c r="H136" s="54" t="s">
        <v>35</v>
      </c>
      <c r="I136" s="51" t="s">
        <v>48</v>
      </c>
      <c r="J136" s="49"/>
    </row>
  </sheetData>
  <mergeCells count="5">
    <mergeCell ref="B2:F2"/>
    <mergeCell ref="B106:J106"/>
    <mergeCell ref="B115:D115"/>
    <mergeCell ref="B120:F120"/>
    <mergeCell ref="B125:I1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33" t="s">
        <v>58</v>
      </c>
      <c r="C2" s="34"/>
      <c r="D2" s="34"/>
      <c r="E2" s="34"/>
      <c r="F2" s="34"/>
    </row>
    <row r="3">
      <c r="B3" s="35" t="s">
        <v>8</v>
      </c>
      <c r="C3" s="35" t="s">
        <v>7</v>
      </c>
      <c r="D3" s="35" t="s">
        <v>12</v>
      </c>
      <c r="E3" s="35" t="s">
        <v>11</v>
      </c>
      <c r="F3" s="35" t="s">
        <v>10</v>
      </c>
    </row>
    <row r="4">
      <c r="B4" s="36">
        <v>0.62</v>
      </c>
      <c r="C4" s="36">
        <v>0.32</v>
      </c>
      <c r="D4" s="36">
        <v>0.51</v>
      </c>
      <c r="E4" s="36">
        <v>0.5</v>
      </c>
      <c r="F4" s="36">
        <v>0.66</v>
      </c>
    </row>
    <row r="5">
      <c r="B5" s="36">
        <v>0.28</v>
      </c>
      <c r="C5" s="36">
        <v>-0.01</v>
      </c>
      <c r="D5" s="36">
        <v>0.43</v>
      </c>
      <c r="E5" s="36">
        <v>0.47</v>
      </c>
      <c r="F5" s="36">
        <v>0.64</v>
      </c>
    </row>
    <row r="6">
      <c r="B6" s="36">
        <v>0.38</v>
      </c>
      <c r="C6" s="36">
        <v>0.38</v>
      </c>
      <c r="D6" s="36">
        <v>0.45</v>
      </c>
      <c r="E6" s="36">
        <v>0.36</v>
      </c>
      <c r="F6" s="36">
        <v>0.51</v>
      </c>
    </row>
    <row r="7">
      <c r="B7" s="36">
        <v>0.37</v>
      </c>
      <c r="C7" s="36">
        <v>0.2</v>
      </c>
      <c r="D7" s="36">
        <v>0.34</v>
      </c>
      <c r="E7" s="36">
        <v>0.58</v>
      </c>
      <c r="F7" s="36">
        <v>0.4</v>
      </c>
    </row>
    <row r="8">
      <c r="B8" s="36">
        <v>0.42</v>
      </c>
      <c r="C8" s="36">
        <v>0.38</v>
      </c>
      <c r="D8" s="36">
        <v>0.56</v>
      </c>
      <c r="E8" s="36">
        <v>0.43</v>
      </c>
      <c r="F8" s="36">
        <v>0.5</v>
      </c>
    </row>
    <row r="9">
      <c r="B9" s="36">
        <v>0.5</v>
      </c>
      <c r="C9" s="36">
        <v>0.31</v>
      </c>
      <c r="D9" s="36">
        <v>0.5</v>
      </c>
      <c r="E9" s="36">
        <v>0.49</v>
      </c>
      <c r="F9" s="36">
        <v>0.14</v>
      </c>
    </row>
    <row r="10">
      <c r="B10" s="36">
        <v>0.54</v>
      </c>
      <c r="C10" s="36">
        <v>-0.02</v>
      </c>
      <c r="D10" s="36">
        <v>0.57</v>
      </c>
      <c r="E10" s="36">
        <v>0.56</v>
      </c>
      <c r="F10" s="36">
        <v>0.53</v>
      </c>
    </row>
    <row r="11">
      <c r="B11" s="36">
        <v>0.21</v>
      </c>
      <c r="C11" s="36">
        <v>0.22</v>
      </c>
      <c r="D11" s="36">
        <v>0.17</v>
      </c>
      <c r="E11" s="36">
        <v>0.29</v>
      </c>
      <c r="F11" s="36">
        <v>0.6</v>
      </c>
    </row>
    <row r="12">
      <c r="B12" s="36">
        <v>0.49</v>
      </c>
      <c r="C12" s="36">
        <v>0.18</v>
      </c>
      <c r="D12" s="36">
        <v>0.32</v>
      </c>
      <c r="E12" s="36">
        <v>0.56</v>
      </c>
      <c r="F12" s="36">
        <v>0.57</v>
      </c>
    </row>
    <row r="13">
      <c r="B13" s="36">
        <v>0.61</v>
      </c>
      <c r="C13" s="36">
        <v>0.05</v>
      </c>
      <c r="D13" s="36">
        <v>0.2</v>
      </c>
      <c r="E13" s="36">
        <v>0.17</v>
      </c>
      <c r="F13" s="36">
        <v>0.31</v>
      </c>
    </row>
    <row r="14">
      <c r="B14" s="36">
        <v>0.57</v>
      </c>
      <c r="C14" s="36">
        <v>0.19</v>
      </c>
      <c r="D14" s="36">
        <v>0.5</v>
      </c>
      <c r="E14" s="36">
        <v>0.48</v>
      </c>
      <c r="F14" s="36">
        <v>0.53</v>
      </c>
    </row>
    <row r="15">
      <c r="B15" s="36">
        <v>0.33</v>
      </c>
      <c r="C15" s="36">
        <v>0.34</v>
      </c>
      <c r="D15" s="36">
        <v>0.38</v>
      </c>
      <c r="E15" s="36">
        <v>0.16</v>
      </c>
      <c r="F15" s="36">
        <v>0.65</v>
      </c>
    </row>
    <row r="16">
      <c r="B16" s="36">
        <v>0.48</v>
      </c>
      <c r="C16" s="36">
        <v>0.43</v>
      </c>
      <c r="D16" s="36">
        <v>0.24</v>
      </c>
      <c r="E16" s="36">
        <v>0.48</v>
      </c>
      <c r="F16" s="36">
        <v>0.05</v>
      </c>
    </row>
    <row r="17">
      <c r="B17" s="36">
        <v>0.49</v>
      </c>
      <c r="C17" s="36">
        <v>0.18</v>
      </c>
      <c r="D17" s="36">
        <v>0.35</v>
      </c>
      <c r="E17" s="36">
        <v>0.15</v>
      </c>
      <c r="F17" s="36">
        <v>0.59</v>
      </c>
    </row>
    <row r="18">
      <c r="B18" s="36">
        <v>0.55</v>
      </c>
      <c r="C18" s="36">
        <v>0.1</v>
      </c>
      <c r="D18" s="36">
        <v>0.29</v>
      </c>
      <c r="E18" s="36">
        <v>0.5</v>
      </c>
      <c r="F18" s="36">
        <v>0.3</v>
      </c>
    </row>
    <row r="19">
      <c r="B19" s="36">
        <v>0.44</v>
      </c>
      <c r="C19" s="36">
        <v>0.15</v>
      </c>
      <c r="D19" s="36">
        <v>0.08</v>
      </c>
      <c r="E19" s="36">
        <v>0.25</v>
      </c>
      <c r="F19" s="36">
        <v>0.22</v>
      </c>
    </row>
    <row r="20">
      <c r="B20" s="36">
        <v>0.46</v>
      </c>
      <c r="C20" s="36">
        <v>0.49</v>
      </c>
      <c r="D20" s="36">
        <v>0.18</v>
      </c>
      <c r="E20" s="36">
        <v>0.51</v>
      </c>
      <c r="F20" s="36">
        <v>0.05</v>
      </c>
    </row>
    <row r="21">
      <c r="B21" s="36">
        <v>0.51</v>
      </c>
      <c r="C21" s="36">
        <v>0.12</v>
      </c>
      <c r="D21" s="36">
        <v>0.42</v>
      </c>
      <c r="E21" s="36">
        <v>0.16</v>
      </c>
      <c r="F21" s="36">
        <v>0.29</v>
      </c>
    </row>
    <row r="22">
      <c r="B22" s="36">
        <v>0.49</v>
      </c>
      <c r="C22" s="36">
        <v>0.25</v>
      </c>
      <c r="D22" s="36">
        <v>0.23</v>
      </c>
      <c r="E22" s="36">
        <v>0.62</v>
      </c>
      <c r="F22" s="36">
        <v>0.1</v>
      </c>
    </row>
    <row r="23">
      <c r="B23" s="36">
        <v>0.37</v>
      </c>
      <c r="C23" s="36">
        <v>0.3</v>
      </c>
      <c r="D23" s="36">
        <v>0.59</v>
      </c>
      <c r="E23" s="36">
        <v>0.25</v>
      </c>
      <c r="F23" s="36">
        <v>0.25</v>
      </c>
    </row>
    <row r="24">
      <c r="B24" s="36">
        <v>0.51</v>
      </c>
      <c r="C24" s="36">
        <v>0.1</v>
      </c>
      <c r="D24" s="36">
        <v>0.38</v>
      </c>
      <c r="E24" s="36">
        <v>0.41</v>
      </c>
      <c r="F24" s="36">
        <v>0.27</v>
      </c>
    </row>
    <row r="25">
      <c r="B25" s="36">
        <v>0.43</v>
      </c>
      <c r="C25" s="36">
        <v>0.2</v>
      </c>
      <c r="D25" s="36">
        <v>0.27</v>
      </c>
      <c r="E25" s="36">
        <v>0.49</v>
      </c>
      <c r="F25" s="36">
        <v>0.54</v>
      </c>
    </row>
    <row r="26">
      <c r="B26" s="36">
        <v>0.54</v>
      </c>
      <c r="C26" s="36">
        <v>-0.02</v>
      </c>
      <c r="D26" s="36">
        <v>0.17</v>
      </c>
      <c r="E26" s="36">
        <v>0.48</v>
      </c>
      <c r="F26" s="36">
        <v>-0.07</v>
      </c>
    </row>
    <row r="27">
      <c r="B27" s="36">
        <v>0.38</v>
      </c>
      <c r="C27" s="36">
        <v>0.12</v>
      </c>
      <c r="D27" s="36">
        <v>0.2</v>
      </c>
      <c r="E27" s="36">
        <v>0.43</v>
      </c>
      <c r="F27" s="36">
        <v>0.53</v>
      </c>
    </row>
    <row r="28">
      <c r="B28" s="36">
        <v>0.41</v>
      </c>
      <c r="C28" s="36">
        <v>0.17</v>
      </c>
      <c r="D28" s="36">
        <v>0.47</v>
      </c>
      <c r="E28" s="36">
        <v>0.36</v>
      </c>
      <c r="F28" s="36">
        <v>0.55</v>
      </c>
    </row>
    <row r="29">
      <c r="B29" s="36">
        <v>0.48</v>
      </c>
      <c r="C29" s="36">
        <v>0.34</v>
      </c>
      <c r="D29" s="36">
        <v>0.29</v>
      </c>
      <c r="E29" s="36">
        <v>0.3</v>
      </c>
      <c r="F29" s="36">
        <v>0.25</v>
      </c>
    </row>
    <row r="30">
      <c r="B30" s="36">
        <v>0.5</v>
      </c>
      <c r="C30" s="36">
        <v>0.21</v>
      </c>
      <c r="D30" s="36">
        <v>0.1</v>
      </c>
      <c r="E30" s="36">
        <v>0.48</v>
      </c>
      <c r="F30" s="36">
        <v>0.45</v>
      </c>
    </row>
    <row r="31">
      <c r="B31" s="36">
        <v>0.45</v>
      </c>
      <c r="C31" s="36">
        <v>0.29</v>
      </c>
      <c r="D31" s="36">
        <v>0.14</v>
      </c>
      <c r="E31" s="36">
        <v>0.15</v>
      </c>
      <c r="F31" s="36">
        <v>0.26</v>
      </c>
    </row>
    <row r="32">
      <c r="B32" s="36">
        <v>0.35</v>
      </c>
      <c r="C32" s="36">
        <v>0.3</v>
      </c>
      <c r="D32" s="36">
        <v>0.31</v>
      </c>
      <c r="E32" s="36">
        <v>0.5</v>
      </c>
      <c r="F32" s="36">
        <v>0.64</v>
      </c>
    </row>
    <row r="33">
      <c r="B33" s="36">
        <v>0.4</v>
      </c>
      <c r="C33" s="36">
        <v>0.12</v>
      </c>
      <c r="D33" s="36">
        <v>0.14</v>
      </c>
      <c r="E33" s="36">
        <v>0.25</v>
      </c>
      <c r="F33" s="36">
        <v>0.56</v>
      </c>
    </row>
    <row r="34">
      <c r="B34" s="36">
        <v>0.38</v>
      </c>
      <c r="C34" s="36">
        <v>0.27</v>
      </c>
      <c r="D34" s="36">
        <v>0.29</v>
      </c>
      <c r="E34" s="36">
        <v>0.5</v>
      </c>
      <c r="F34" s="36">
        <v>0.65</v>
      </c>
    </row>
    <row r="35">
      <c r="B35" s="36">
        <v>0.62</v>
      </c>
      <c r="C35" s="36">
        <v>0.12</v>
      </c>
      <c r="D35" s="36">
        <v>0.47</v>
      </c>
      <c r="E35" s="36">
        <v>0.57</v>
      </c>
      <c r="F35" s="36">
        <v>0.45</v>
      </c>
    </row>
    <row r="36">
      <c r="B36" s="36">
        <v>0.44</v>
      </c>
      <c r="C36" s="36">
        <v>0.27</v>
      </c>
      <c r="D36" s="36">
        <v>0.41</v>
      </c>
      <c r="E36" s="36">
        <v>0.56</v>
      </c>
      <c r="F36" s="36">
        <v>0.26</v>
      </c>
    </row>
    <row r="37">
      <c r="B37" s="36">
        <v>0.48</v>
      </c>
      <c r="C37" s="36">
        <v>0.25</v>
      </c>
      <c r="D37" s="36">
        <v>0.4</v>
      </c>
      <c r="E37" s="36">
        <v>0.4</v>
      </c>
      <c r="F37" s="36">
        <v>-0.05</v>
      </c>
    </row>
    <row r="38">
      <c r="B38" s="36">
        <v>0.41</v>
      </c>
      <c r="C38" s="36">
        <v>0.37</v>
      </c>
      <c r="D38" s="36">
        <v>0.31</v>
      </c>
      <c r="E38" s="36">
        <v>0.65</v>
      </c>
      <c r="F38" s="36">
        <v>0.57</v>
      </c>
    </row>
    <row r="39">
      <c r="B39" s="36">
        <v>0.49</v>
      </c>
      <c r="C39" s="36">
        <v>0.27</v>
      </c>
      <c r="D39" s="36">
        <v>0.45</v>
      </c>
      <c r="E39" s="36">
        <v>0.46</v>
      </c>
      <c r="F39" s="36">
        <v>0.53</v>
      </c>
    </row>
    <row r="40">
      <c r="B40" s="36">
        <v>0.48</v>
      </c>
      <c r="C40" s="36">
        <v>0.17</v>
      </c>
      <c r="D40" s="36">
        <v>0.34</v>
      </c>
      <c r="E40" s="36">
        <v>0.64</v>
      </c>
      <c r="F40" s="36">
        <v>0.22</v>
      </c>
    </row>
    <row r="41">
      <c r="B41" s="36">
        <v>0.51</v>
      </c>
      <c r="C41" s="36">
        <v>0.23</v>
      </c>
      <c r="D41" s="36">
        <v>0.43</v>
      </c>
      <c r="E41" s="36">
        <v>0.24</v>
      </c>
      <c r="F41" s="36">
        <v>0.13</v>
      </c>
    </row>
    <row r="42">
      <c r="B42" s="36">
        <v>0.28</v>
      </c>
      <c r="C42" s="36">
        <v>0.47</v>
      </c>
      <c r="D42" s="36">
        <v>0.56</v>
      </c>
      <c r="E42" s="36">
        <v>0.5</v>
      </c>
      <c r="F42" s="36">
        <v>0.56</v>
      </c>
    </row>
    <row r="43">
      <c r="B43" s="36">
        <v>0.36</v>
      </c>
      <c r="C43" s="36">
        <v>0.06</v>
      </c>
      <c r="D43" s="36">
        <v>0.33</v>
      </c>
      <c r="E43" s="36">
        <v>0.42</v>
      </c>
      <c r="F43" s="36">
        <v>0.56</v>
      </c>
    </row>
    <row r="44">
      <c r="B44" s="36">
        <v>0.29</v>
      </c>
      <c r="C44" s="36">
        <v>0.17</v>
      </c>
      <c r="D44" s="36">
        <v>0.33</v>
      </c>
      <c r="E44" s="36">
        <v>0.42</v>
      </c>
      <c r="F44" s="36">
        <v>0.1</v>
      </c>
    </row>
    <row r="45">
      <c r="B45" s="36">
        <v>0.42</v>
      </c>
      <c r="C45" s="36">
        <v>0.41</v>
      </c>
      <c r="D45" s="36">
        <v>0.38</v>
      </c>
      <c r="E45" s="36">
        <v>0.36</v>
      </c>
      <c r="F45" s="36">
        <v>0.31</v>
      </c>
    </row>
    <row r="46">
      <c r="B46" s="36">
        <v>0.47</v>
      </c>
      <c r="C46" s="36">
        <v>0.06</v>
      </c>
      <c r="D46" s="36">
        <v>0.38</v>
      </c>
      <c r="E46" s="36">
        <v>0.35</v>
      </c>
      <c r="F46" s="36">
        <v>0.25</v>
      </c>
    </row>
    <row r="47">
      <c r="B47" s="36">
        <v>0.59</v>
      </c>
      <c r="C47" s="36">
        <v>0.08</v>
      </c>
      <c r="D47" s="36">
        <v>0.25</v>
      </c>
      <c r="E47" s="36">
        <v>0.16</v>
      </c>
      <c r="F47" s="36">
        <v>0.66</v>
      </c>
    </row>
    <row r="48">
      <c r="B48" s="36">
        <v>0.44</v>
      </c>
      <c r="C48" s="36">
        <v>-0.02</v>
      </c>
      <c r="D48" s="36">
        <v>0.06</v>
      </c>
      <c r="E48" s="36">
        <v>0.57</v>
      </c>
      <c r="F48" s="36">
        <v>0.25</v>
      </c>
    </row>
    <row r="49">
      <c r="B49" s="36">
        <v>0.52</v>
      </c>
      <c r="C49" s="36">
        <v>0.22</v>
      </c>
      <c r="D49" s="36">
        <v>0.16</v>
      </c>
      <c r="E49" s="36">
        <v>0.39</v>
      </c>
      <c r="F49" s="36">
        <v>-0.03</v>
      </c>
    </row>
    <row r="50">
      <c r="B50" s="36">
        <v>0.47</v>
      </c>
      <c r="C50" s="36">
        <v>0.14</v>
      </c>
      <c r="D50" s="36">
        <v>0.51</v>
      </c>
      <c r="E50" s="36">
        <v>0.53</v>
      </c>
      <c r="F50" s="36">
        <v>0.51</v>
      </c>
    </row>
    <row r="51">
      <c r="B51" s="36">
        <v>0.34</v>
      </c>
      <c r="C51" s="36">
        <v>0.2</v>
      </c>
      <c r="D51" s="36">
        <v>0.46</v>
      </c>
      <c r="E51" s="36">
        <v>0.41</v>
      </c>
      <c r="F51" s="36">
        <v>0.55</v>
      </c>
    </row>
    <row r="52">
      <c r="B52" s="36">
        <v>0.2</v>
      </c>
      <c r="C52" s="36">
        <v>0.22</v>
      </c>
      <c r="D52" s="36">
        <v>0.3</v>
      </c>
      <c r="E52" s="36">
        <v>0.44</v>
      </c>
      <c r="F52" s="36">
        <v>-0.04</v>
      </c>
    </row>
    <row r="53">
      <c r="B53" s="36">
        <v>0.33</v>
      </c>
      <c r="C53" s="36">
        <v>0.22</v>
      </c>
      <c r="D53" s="36">
        <v>0.28</v>
      </c>
      <c r="E53" s="36">
        <v>0.56</v>
      </c>
      <c r="F53" s="36">
        <v>0.38</v>
      </c>
    </row>
    <row r="54">
      <c r="B54" s="36">
        <v>0.48</v>
      </c>
      <c r="C54" s="36">
        <v>-0.01</v>
      </c>
      <c r="D54" s="36">
        <v>0.5</v>
      </c>
      <c r="E54" s="36">
        <v>0.35</v>
      </c>
      <c r="F54" s="36">
        <v>0.02</v>
      </c>
    </row>
    <row r="55">
      <c r="B55" s="36">
        <v>0.42</v>
      </c>
      <c r="C55" s="36">
        <v>0.08</v>
      </c>
      <c r="D55" s="36">
        <v>0.17</v>
      </c>
      <c r="E55" s="36">
        <v>0.69</v>
      </c>
      <c r="F55" s="36">
        <v>0.25</v>
      </c>
    </row>
    <row r="56">
      <c r="B56" s="36">
        <v>0.56</v>
      </c>
      <c r="C56" s="36">
        <v>0.27</v>
      </c>
      <c r="D56" s="36">
        <v>0.33</v>
      </c>
      <c r="E56" s="36">
        <v>0.43</v>
      </c>
      <c r="F56" s="36">
        <v>0.51</v>
      </c>
    </row>
    <row r="57">
      <c r="B57" s="36">
        <v>0.55</v>
      </c>
      <c r="C57" s="36">
        <v>0.19</v>
      </c>
      <c r="D57" s="36">
        <v>0.55</v>
      </c>
      <c r="E57" s="36">
        <v>0.08</v>
      </c>
      <c r="F57" s="36">
        <v>0.6</v>
      </c>
    </row>
    <row r="58">
      <c r="B58" s="36">
        <v>0.39</v>
      </c>
      <c r="C58" s="36">
        <v>0.18</v>
      </c>
      <c r="D58" s="36">
        <v>0.61</v>
      </c>
      <c r="E58" s="36">
        <v>0.41</v>
      </c>
      <c r="F58" s="36">
        <v>0.62</v>
      </c>
    </row>
    <row r="59">
      <c r="B59" s="36">
        <v>0.51</v>
      </c>
      <c r="C59" s="36">
        <v>0.21</v>
      </c>
      <c r="D59" s="36">
        <v>-0.06</v>
      </c>
      <c r="E59" s="36">
        <v>0.53</v>
      </c>
      <c r="F59" s="36">
        <v>0.28</v>
      </c>
    </row>
    <row r="60">
      <c r="B60" s="36">
        <v>0.48</v>
      </c>
      <c r="C60" s="36">
        <v>0.26</v>
      </c>
      <c r="D60" s="36">
        <v>0.61</v>
      </c>
      <c r="E60" s="36">
        <v>0.45</v>
      </c>
      <c r="F60" s="36">
        <v>0.7</v>
      </c>
    </row>
    <row r="61">
      <c r="B61" s="36">
        <v>0.44</v>
      </c>
      <c r="C61" s="36">
        <v>0.2</v>
      </c>
      <c r="D61" s="36">
        <v>0.17</v>
      </c>
      <c r="E61" s="36">
        <v>0.43</v>
      </c>
      <c r="F61" s="36">
        <v>0.31</v>
      </c>
    </row>
    <row r="62">
      <c r="B62" s="36">
        <v>0.52</v>
      </c>
      <c r="C62" s="36">
        <v>0.33</v>
      </c>
      <c r="D62" s="36">
        <v>0.35</v>
      </c>
      <c r="E62" s="36">
        <v>0.63</v>
      </c>
      <c r="F62" s="36">
        <v>0.36</v>
      </c>
    </row>
    <row r="63">
      <c r="B63" s="36">
        <v>0.31</v>
      </c>
      <c r="C63" s="36">
        <v>0.39</v>
      </c>
      <c r="D63" s="36">
        <v>0.46</v>
      </c>
      <c r="E63" s="36">
        <v>0.47</v>
      </c>
      <c r="F63" s="36">
        <v>0.36</v>
      </c>
    </row>
    <row r="64">
      <c r="B64" s="36">
        <v>0.49</v>
      </c>
      <c r="C64" s="36">
        <v>0.24</v>
      </c>
      <c r="D64" s="36">
        <v>0.32</v>
      </c>
      <c r="E64" s="36">
        <v>0.42</v>
      </c>
      <c r="F64" s="36">
        <v>0.24</v>
      </c>
    </row>
    <row r="65">
      <c r="B65" s="36">
        <v>0.45</v>
      </c>
      <c r="C65" s="36">
        <v>0.31</v>
      </c>
      <c r="D65" s="36">
        <v>0.24</v>
      </c>
      <c r="E65" s="36">
        <v>0.49</v>
      </c>
      <c r="F65" s="36">
        <v>0.27</v>
      </c>
    </row>
    <row r="66">
      <c r="B66" s="36">
        <v>0.39</v>
      </c>
      <c r="C66" s="36">
        <v>0.14</v>
      </c>
      <c r="D66" s="36">
        <v>0.34</v>
      </c>
      <c r="E66" s="36">
        <v>0.58</v>
      </c>
      <c r="F66" s="36">
        <v>-0.05</v>
      </c>
    </row>
    <row r="67">
      <c r="B67" s="36">
        <v>0.52</v>
      </c>
      <c r="C67" s="36">
        <v>0.33</v>
      </c>
      <c r="D67" s="36">
        <v>0.48</v>
      </c>
      <c r="E67" s="36">
        <v>0.27</v>
      </c>
      <c r="F67" s="36">
        <v>0.59</v>
      </c>
    </row>
    <row r="68">
      <c r="B68" s="36">
        <v>0.46</v>
      </c>
      <c r="C68" s="36">
        <v>0.33</v>
      </c>
      <c r="D68" s="36">
        <v>0.35</v>
      </c>
      <c r="E68" s="36">
        <v>0.63</v>
      </c>
      <c r="F68" s="36">
        <v>0.53</v>
      </c>
    </row>
    <row r="69">
      <c r="B69" s="36">
        <v>0.54</v>
      </c>
      <c r="C69" s="36">
        <v>0.06</v>
      </c>
      <c r="D69" s="36">
        <v>0.27</v>
      </c>
      <c r="E69" s="36">
        <v>0.53</v>
      </c>
      <c r="F69" s="36">
        <v>0.52</v>
      </c>
    </row>
    <row r="70">
      <c r="B70" s="36">
        <v>0.23</v>
      </c>
      <c r="C70" s="36">
        <v>0.08</v>
      </c>
      <c r="D70" s="36">
        <v>0.57</v>
      </c>
      <c r="E70" s="36">
        <v>0.58</v>
      </c>
      <c r="F70" s="36">
        <v>0.5</v>
      </c>
    </row>
    <row r="71">
      <c r="B71" s="36">
        <v>0.5</v>
      </c>
      <c r="C71" s="36">
        <v>0.14</v>
      </c>
      <c r="D71" s="36">
        <v>0.5</v>
      </c>
      <c r="E71" s="36">
        <v>0.28</v>
      </c>
      <c r="F71" s="36">
        <v>0.67</v>
      </c>
    </row>
    <row r="72">
      <c r="B72" s="36">
        <v>0.54</v>
      </c>
      <c r="C72" s="36">
        <v>0.21</v>
      </c>
      <c r="D72" s="36">
        <v>0.53</v>
      </c>
      <c r="E72" s="36">
        <v>0.46</v>
      </c>
      <c r="F72" s="36">
        <v>0.13</v>
      </c>
    </row>
    <row r="73">
      <c r="B73" s="36">
        <v>0.42</v>
      </c>
      <c r="C73" s="36">
        <v>0.28</v>
      </c>
      <c r="D73" s="36">
        <v>0.18</v>
      </c>
      <c r="E73" s="36">
        <v>0.43</v>
      </c>
      <c r="F73" s="36">
        <v>0.64</v>
      </c>
    </row>
    <row r="74">
      <c r="B74" s="36">
        <v>0.55</v>
      </c>
      <c r="C74" s="36">
        <v>0.17</v>
      </c>
      <c r="D74" s="36">
        <v>0.43</v>
      </c>
      <c r="E74" s="36">
        <v>0.51</v>
      </c>
      <c r="F74" s="36">
        <v>0.09</v>
      </c>
    </row>
    <row r="75">
      <c r="B75" s="36">
        <v>0.43</v>
      </c>
      <c r="C75" s="36">
        <v>0.31</v>
      </c>
      <c r="D75" s="36">
        <v>0.4</v>
      </c>
      <c r="E75" s="36">
        <v>0.39</v>
      </c>
      <c r="F75" s="36">
        <v>0.08</v>
      </c>
    </row>
    <row r="76">
      <c r="B76" s="36">
        <v>0.49</v>
      </c>
      <c r="C76" s="36">
        <v>0.16</v>
      </c>
      <c r="D76" s="36">
        <v>0.32</v>
      </c>
      <c r="E76" s="36">
        <v>0.64</v>
      </c>
      <c r="F76" s="36">
        <v>0.53</v>
      </c>
    </row>
    <row r="77">
      <c r="B77" s="36">
        <v>0.44</v>
      </c>
      <c r="C77" s="36">
        <v>0.32</v>
      </c>
      <c r="D77" s="36">
        <v>0.5</v>
      </c>
      <c r="E77" s="36">
        <v>0.53</v>
      </c>
      <c r="F77" s="36">
        <v>0.24</v>
      </c>
    </row>
    <row r="78">
      <c r="B78" s="36">
        <v>0.38</v>
      </c>
      <c r="C78" s="36">
        <v>0.14</v>
      </c>
      <c r="D78" s="36">
        <v>0.42</v>
      </c>
      <c r="E78" s="36">
        <v>0.55</v>
      </c>
      <c r="F78" s="36">
        <v>0.22</v>
      </c>
    </row>
    <row r="79">
      <c r="B79" s="36">
        <v>0.18</v>
      </c>
      <c r="C79" s="36">
        <v>0.28</v>
      </c>
      <c r="D79" s="36">
        <v>0.32</v>
      </c>
      <c r="E79" s="36">
        <v>0.27</v>
      </c>
      <c r="F79" s="36">
        <v>0.66</v>
      </c>
    </row>
    <row r="80">
      <c r="B80" s="36">
        <v>0.19</v>
      </c>
      <c r="C80" s="36">
        <v>-0.02</v>
      </c>
      <c r="D80" s="36">
        <v>0.6</v>
      </c>
      <c r="E80" s="36">
        <v>0.13</v>
      </c>
      <c r="F80" s="36">
        <v>0.58</v>
      </c>
    </row>
    <row r="81">
      <c r="B81" s="36">
        <v>0.33</v>
      </c>
      <c r="C81" s="36">
        <v>0.22</v>
      </c>
      <c r="D81" s="36">
        <v>0.25</v>
      </c>
      <c r="E81" s="36">
        <v>0.36</v>
      </c>
      <c r="F81" s="36">
        <v>0.56</v>
      </c>
    </row>
    <row r="82">
      <c r="B82" s="36">
        <v>0.54</v>
      </c>
      <c r="C82" s="36">
        <v>0.24</v>
      </c>
      <c r="D82" s="36">
        <v>0.46</v>
      </c>
      <c r="E82" s="36">
        <v>0.6</v>
      </c>
      <c r="F82" s="36">
        <v>0.34</v>
      </c>
    </row>
    <row r="83">
      <c r="B83" s="36">
        <v>0.53</v>
      </c>
      <c r="C83" s="36">
        <v>0.3</v>
      </c>
      <c r="D83" s="36">
        <v>0.36</v>
      </c>
      <c r="E83" s="36">
        <v>0.36</v>
      </c>
      <c r="F83" s="36">
        <v>0.28</v>
      </c>
    </row>
    <row r="84">
      <c r="B84" s="36">
        <v>0.38</v>
      </c>
      <c r="C84" s="36">
        <v>0.3</v>
      </c>
      <c r="D84" s="36">
        <v>0.38</v>
      </c>
      <c r="E84" s="36">
        <v>0.35</v>
      </c>
      <c r="F84" s="36">
        <v>0.59</v>
      </c>
    </row>
    <row r="85">
      <c r="B85" s="36">
        <v>0.6</v>
      </c>
      <c r="C85" s="36">
        <v>0.07</v>
      </c>
      <c r="D85" s="36">
        <v>0.4</v>
      </c>
      <c r="E85" s="36">
        <v>0.57</v>
      </c>
      <c r="F85" s="36">
        <v>0.63</v>
      </c>
    </row>
    <row r="86">
      <c r="B86" s="36">
        <v>0.48</v>
      </c>
      <c r="C86" s="36">
        <v>0.16</v>
      </c>
      <c r="D86" s="36">
        <v>0.52</v>
      </c>
      <c r="E86" s="36">
        <v>0.19</v>
      </c>
      <c r="F86" s="36">
        <v>0.47</v>
      </c>
    </row>
    <row r="87">
      <c r="B87" s="36">
        <v>0.45</v>
      </c>
      <c r="C87" s="36">
        <v>0.19</v>
      </c>
      <c r="D87" s="36">
        <v>0.43</v>
      </c>
      <c r="E87" s="36">
        <v>0.49</v>
      </c>
      <c r="F87" s="36">
        <v>0.43</v>
      </c>
    </row>
    <row r="88">
      <c r="B88" s="36">
        <v>0.36</v>
      </c>
      <c r="C88" s="36">
        <v>0.24</v>
      </c>
      <c r="D88" s="36">
        <v>0.35</v>
      </c>
      <c r="E88" s="36">
        <v>0.55</v>
      </c>
      <c r="F88" s="36">
        <v>0.56</v>
      </c>
    </row>
    <row r="89">
      <c r="B89" s="36">
        <v>0.45</v>
      </c>
      <c r="C89" s="36">
        <v>0.14</v>
      </c>
      <c r="D89" s="36">
        <v>0.31</v>
      </c>
      <c r="E89" s="36">
        <v>0.55</v>
      </c>
      <c r="F89" s="36">
        <v>0.07</v>
      </c>
    </row>
    <row r="90">
      <c r="B90" s="36">
        <v>0.49</v>
      </c>
      <c r="C90" s="36">
        <v>0.25</v>
      </c>
      <c r="D90" s="36">
        <v>0.36</v>
      </c>
      <c r="E90" s="36">
        <v>0.55</v>
      </c>
      <c r="F90" s="36">
        <v>0.53</v>
      </c>
    </row>
    <row r="91">
      <c r="B91" s="36">
        <v>0.54</v>
      </c>
      <c r="C91" s="36">
        <v>0.11</v>
      </c>
      <c r="D91" s="36">
        <v>0.47</v>
      </c>
      <c r="E91" s="36">
        <v>0.22</v>
      </c>
      <c r="F91" s="36">
        <v>0.03</v>
      </c>
    </row>
    <row r="92">
      <c r="B92" s="36">
        <v>0.26</v>
      </c>
      <c r="C92" s="36">
        <v>0.0</v>
      </c>
      <c r="D92" s="36">
        <v>0.53</v>
      </c>
      <c r="E92" s="36">
        <v>0.55</v>
      </c>
      <c r="F92" s="36">
        <v>0.66</v>
      </c>
    </row>
    <row r="93">
      <c r="B93" s="36">
        <v>0.47</v>
      </c>
      <c r="C93" s="36">
        <v>0.42</v>
      </c>
      <c r="D93" s="36">
        <v>0.17</v>
      </c>
      <c r="E93" s="36">
        <v>0.52</v>
      </c>
      <c r="F93" s="36">
        <v>0.03</v>
      </c>
    </row>
    <row r="94">
      <c r="B94" s="36">
        <v>0.54</v>
      </c>
      <c r="C94" s="36">
        <v>0.27</v>
      </c>
      <c r="D94" s="36">
        <v>0.38</v>
      </c>
      <c r="E94" s="36">
        <v>0.53</v>
      </c>
      <c r="F94" s="36">
        <v>0.47</v>
      </c>
    </row>
    <row r="95">
      <c r="B95" s="36">
        <v>0.46</v>
      </c>
      <c r="C95" s="36">
        <v>0.14</v>
      </c>
      <c r="D95" s="36">
        <v>0.46</v>
      </c>
      <c r="E95" s="36">
        <v>0.47</v>
      </c>
      <c r="F95" s="36">
        <v>0.42</v>
      </c>
    </row>
    <row r="96">
      <c r="B96" s="36">
        <v>0.38</v>
      </c>
      <c r="C96" s="36">
        <v>-0.12</v>
      </c>
      <c r="D96" s="36">
        <v>0.36</v>
      </c>
      <c r="E96" s="36">
        <v>0.48</v>
      </c>
      <c r="F96" s="36">
        <v>0.29</v>
      </c>
    </row>
    <row r="97">
      <c r="B97" s="36">
        <v>0.45</v>
      </c>
      <c r="C97" s="36">
        <v>0.43</v>
      </c>
      <c r="D97" s="36">
        <v>0.45</v>
      </c>
      <c r="E97" s="36">
        <v>0.5</v>
      </c>
      <c r="F97" s="36">
        <v>0.22</v>
      </c>
    </row>
    <row r="98">
      <c r="B98" s="36">
        <v>0.32</v>
      </c>
      <c r="C98" s="36">
        <v>0.1</v>
      </c>
      <c r="D98" s="36">
        <v>0.4</v>
      </c>
      <c r="E98" s="36">
        <v>0.65</v>
      </c>
      <c r="F98" s="36">
        <v>0.54</v>
      </c>
    </row>
    <row r="99">
      <c r="B99" s="36">
        <v>0.4</v>
      </c>
      <c r="C99" s="36">
        <v>0.28</v>
      </c>
      <c r="D99" s="36">
        <v>0.17</v>
      </c>
      <c r="E99" s="36">
        <v>0.44</v>
      </c>
      <c r="F99" s="36">
        <v>0.23</v>
      </c>
    </row>
    <row r="100">
      <c r="B100" s="36">
        <v>0.36</v>
      </c>
      <c r="C100" s="36">
        <v>0.04</v>
      </c>
      <c r="D100" s="36">
        <v>0.53</v>
      </c>
      <c r="E100" s="36">
        <v>0.12</v>
      </c>
      <c r="F100" s="36">
        <v>0.61</v>
      </c>
    </row>
    <row r="101">
      <c r="B101" s="36">
        <v>0.55</v>
      </c>
      <c r="C101" s="36">
        <v>0.2</v>
      </c>
      <c r="D101" s="36">
        <v>0.27</v>
      </c>
      <c r="E101" s="36">
        <v>0.45</v>
      </c>
      <c r="F101" s="36">
        <v>0.44</v>
      </c>
    </row>
    <row r="102">
      <c r="B102" s="36">
        <v>0.47</v>
      </c>
      <c r="C102" s="36">
        <v>0.24</v>
      </c>
      <c r="D102" s="36">
        <v>0.34</v>
      </c>
      <c r="E102" s="36">
        <v>0.35</v>
      </c>
      <c r="F102" s="36">
        <v>0.62</v>
      </c>
    </row>
    <row r="103">
      <c r="B103" s="37">
        <v>0.54</v>
      </c>
      <c r="C103" s="37">
        <v>0.11</v>
      </c>
      <c r="D103" s="37">
        <v>0.39</v>
      </c>
      <c r="E103" s="37">
        <v>0.48</v>
      </c>
      <c r="F103" s="37">
        <v>0.64</v>
      </c>
    </row>
    <row r="106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>
      <c r="B108" s="40" t="s">
        <v>8</v>
      </c>
      <c r="C108" s="41">
        <v>0.4429</v>
      </c>
      <c r="D108" s="41">
        <v>0.097</v>
      </c>
      <c r="E108" s="41">
        <v>0.46</v>
      </c>
      <c r="F108" s="41">
        <v>0.4239</v>
      </c>
      <c r="G108" s="41">
        <v>0.4619</v>
      </c>
      <c r="H108" s="42">
        <v>0.18</v>
      </c>
      <c r="I108" s="42">
        <v>0.62</v>
      </c>
      <c r="J108" s="43">
        <v>21.9</v>
      </c>
    </row>
    <row r="109">
      <c r="B109" s="40" t="s">
        <v>7</v>
      </c>
      <c r="C109" s="41">
        <v>0.2048</v>
      </c>
      <c r="D109" s="41">
        <v>0.1208</v>
      </c>
      <c r="E109" s="41">
        <v>0.205</v>
      </c>
      <c r="F109" s="41">
        <v>0.1811</v>
      </c>
      <c r="G109" s="41">
        <v>0.2285</v>
      </c>
      <c r="H109" s="42">
        <v>-0.12</v>
      </c>
      <c r="I109" s="42">
        <v>0.49</v>
      </c>
      <c r="J109" s="43">
        <v>59.0</v>
      </c>
    </row>
    <row r="110">
      <c r="B110" s="40" t="s">
        <v>12</v>
      </c>
      <c r="C110" s="41">
        <v>0.3608</v>
      </c>
      <c r="D110" s="41">
        <v>0.1374</v>
      </c>
      <c r="E110" s="41">
        <v>0.36</v>
      </c>
      <c r="F110" s="41">
        <v>0.3339</v>
      </c>
      <c r="G110" s="41">
        <v>0.3877</v>
      </c>
      <c r="H110" s="42">
        <v>-0.06</v>
      </c>
      <c r="I110" s="42">
        <v>0.61</v>
      </c>
      <c r="J110" s="43">
        <v>38.1</v>
      </c>
    </row>
    <row r="111">
      <c r="B111" s="40" t="s">
        <v>11</v>
      </c>
      <c r="C111" s="41">
        <v>0.4344</v>
      </c>
      <c r="D111" s="41">
        <v>0.1404</v>
      </c>
      <c r="E111" s="41">
        <v>0.47</v>
      </c>
      <c r="F111" s="41">
        <v>0.4069</v>
      </c>
      <c r="G111" s="41">
        <v>0.4619</v>
      </c>
      <c r="H111" s="42">
        <v>0.08</v>
      </c>
      <c r="I111" s="42">
        <v>0.69</v>
      </c>
      <c r="J111" s="43">
        <v>32.3</v>
      </c>
    </row>
    <row r="112">
      <c r="B112" s="44" t="s">
        <v>10</v>
      </c>
      <c r="C112" s="45">
        <v>0.388</v>
      </c>
      <c r="D112" s="45">
        <v>0.2138</v>
      </c>
      <c r="E112" s="45">
        <v>0.445</v>
      </c>
      <c r="F112" s="45">
        <v>0.3461</v>
      </c>
      <c r="G112" s="45">
        <v>0.4299</v>
      </c>
      <c r="H112" s="46">
        <v>-0.07</v>
      </c>
      <c r="I112" s="47">
        <v>0.7</v>
      </c>
      <c r="J112" s="48">
        <v>55.1</v>
      </c>
    </row>
    <row r="113">
      <c r="B113" s="40"/>
      <c r="C113" s="41"/>
      <c r="D113" s="41"/>
      <c r="E113" s="41"/>
      <c r="F113" s="41"/>
      <c r="G113" s="41"/>
      <c r="H113" s="42"/>
      <c r="I113" s="42"/>
      <c r="J113" s="43"/>
    </row>
    <row r="114">
      <c r="B114" s="49"/>
      <c r="C114" s="49"/>
      <c r="D114" s="49"/>
      <c r="E114" s="49"/>
      <c r="F114" s="49"/>
      <c r="G114" s="49"/>
      <c r="H114" s="49"/>
      <c r="I114" s="49"/>
      <c r="J114" s="49"/>
    </row>
    <row r="115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>
      <c r="B117" s="45">
        <v>21.5158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>
      <c r="B118" s="41"/>
      <c r="C118" s="42"/>
      <c r="D118" s="52"/>
      <c r="E118" s="49"/>
      <c r="F118" s="49"/>
      <c r="G118" s="49"/>
      <c r="H118" s="49"/>
      <c r="I118" s="49"/>
      <c r="J118" s="49"/>
    </row>
    <row r="119">
      <c r="B119" s="49"/>
      <c r="C119" s="49"/>
      <c r="D119" s="49"/>
      <c r="E119" s="49"/>
      <c r="F119" s="49"/>
      <c r="G119" s="49"/>
      <c r="H119" s="49"/>
      <c r="I119" s="49"/>
      <c r="J119" s="49"/>
    </row>
    <row r="120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>
      <c r="B122" s="47">
        <v>65.8434</v>
      </c>
      <c r="C122" s="47">
        <v>4.0</v>
      </c>
      <c r="D122" s="47">
        <v>10.0</v>
      </c>
      <c r="E122" s="50" t="s">
        <v>35</v>
      </c>
      <c r="F122" s="51" t="s">
        <v>41</v>
      </c>
      <c r="G122" s="49"/>
      <c r="H122" s="49"/>
      <c r="I122" s="49"/>
      <c r="J122" s="49"/>
    </row>
    <row r="123">
      <c r="B123" s="42"/>
      <c r="C123" s="42"/>
      <c r="D123" s="42"/>
      <c r="E123" s="42"/>
      <c r="F123" s="52"/>
      <c r="G123" s="49"/>
      <c r="H123" s="49"/>
      <c r="I123" s="49"/>
      <c r="J123" s="49"/>
    </row>
    <row r="124">
      <c r="B124" s="49"/>
      <c r="C124" s="49"/>
      <c r="D124" s="49"/>
      <c r="E124" s="49"/>
      <c r="F124" s="49"/>
      <c r="G124" s="49"/>
      <c r="H124" s="49"/>
      <c r="I124" s="49"/>
      <c r="J124" s="49"/>
    </row>
    <row r="125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>
      <c r="B127" s="40" t="s">
        <v>8</v>
      </c>
      <c r="C127" s="40" t="s">
        <v>7</v>
      </c>
      <c r="D127" s="41">
        <v>0.2381</v>
      </c>
      <c r="E127" s="41">
        <v>0.0155</v>
      </c>
      <c r="F127" s="41">
        <v>0.2075</v>
      </c>
      <c r="G127" s="41">
        <v>0.2687</v>
      </c>
      <c r="H127" s="53" t="s">
        <v>35</v>
      </c>
      <c r="I127" s="52" t="s">
        <v>48</v>
      </c>
      <c r="J127" s="49"/>
    </row>
    <row r="128">
      <c r="B128" s="40" t="s">
        <v>8</v>
      </c>
      <c r="C128" s="40" t="s">
        <v>12</v>
      </c>
      <c r="D128" s="41">
        <v>0.0821</v>
      </c>
      <c r="E128" s="41">
        <v>0.0168</v>
      </c>
      <c r="F128" s="41">
        <v>0.0489</v>
      </c>
      <c r="G128" s="41">
        <v>0.1153</v>
      </c>
      <c r="H128" s="53" t="s">
        <v>35</v>
      </c>
      <c r="I128" s="52" t="s">
        <v>48</v>
      </c>
      <c r="J128" s="49"/>
    </row>
    <row r="129">
      <c r="B129" s="40" t="s">
        <v>8</v>
      </c>
      <c r="C129" s="40" t="s">
        <v>11</v>
      </c>
      <c r="D129" s="41">
        <v>0.0085</v>
      </c>
      <c r="E129" s="41">
        <v>0.0171</v>
      </c>
      <c r="F129" s="41">
        <v>-0.0252</v>
      </c>
      <c r="G129" s="41">
        <v>0.0422</v>
      </c>
      <c r="H129" s="53">
        <v>0.619</v>
      </c>
      <c r="I129" s="52" t="s">
        <v>49</v>
      </c>
      <c r="J129" s="49"/>
    </row>
    <row r="130">
      <c r="B130" s="40" t="s">
        <v>8</v>
      </c>
      <c r="C130" s="40" t="s">
        <v>10</v>
      </c>
      <c r="D130" s="41">
        <v>0.0549</v>
      </c>
      <c r="E130" s="41">
        <v>0.0235</v>
      </c>
      <c r="F130" s="41">
        <v>0.0085</v>
      </c>
      <c r="G130" s="41">
        <v>0.1013</v>
      </c>
      <c r="H130" s="53">
        <v>0.0208</v>
      </c>
      <c r="I130" s="52" t="s">
        <v>48</v>
      </c>
      <c r="J130" s="49"/>
    </row>
    <row r="131">
      <c r="B131" s="40" t="s">
        <v>7</v>
      </c>
      <c r="C131" s="40" t="s">
        <v>12</v>
      </c>
      <c r="D131" s="41">
        <v>-0.156</v>
      </c>
      <c r="E131" s="41">
        <v>0.0183</v>
      </c>
      <c r="F131" s="41">
        <v>-0.1921</v>
      </c>
      <c r="G131" s="41">
        <v>-0.1199</v>
      </c>
      <c r="H131" s="53" t="s">
        <v>35</v>
      </c>
      <c r="I131" s="52" t="s">
        <v>48</v>
      </c>
      <c r="J131" s="49"/>
    </row>
    <row r="132">
      <c r="B132" s="40" t="s">
        <v>7</v>
      </c>
      <c r="C132" s="40" t="s">
        <v>11</v>
      </c>
      <c r="D132" s="41">
        <v>-0.2296</v>
      </c>
      <c r="E132" s="41">
        <v>0.0185</v>
      </c>
      <c r="F132" s="41">
        <v>-0.2661</v>
      </c>
      <c r="G132" s="41">
        <v>-0.1931</v>
      </c>
      <c r="H132" s="53" t="s">
        <v>35</v>
      </c>
      <c r="I132" s="52" t="s">
        <v>48</v>
      </c>
      <c r="J132" s="49"/>
    </row>
    <row r="133">
      <c r="B133" s="40" t="s">
        <v>7</v>
      </c>
      <c r="C133" s="40" t="s">
        <v>10</v>
      </c>
      <c r="D133" s="41">
        <v>-0.1832</v>
      </c>
      <c r="E133" s="41">
        <v>0.0246</v>
      </c>
      <c r="F133" s="41">
        <v>-0.2317</v>
      </c>
      <c r="G133" s="41">
        <v>-0.1347</v>
      </c>
      <c r="H133" s="53" t="s">
        <v>35</v>
      </c>
      <c r="I133" s="52" t="s">
        <v>48</v>
      </c>
      <c r="J133" s="49"/>
    </row>
    <row r="134">
      <c r="B134" s="40" t="s">
        <v>12</v>
      </c>
      <c r="C134" s="40" t="s">
        <v>11</v>
      </c>
      <c r="D134" s="41">
        <v>-0.0736</v>
      </c>
      <c r="E134" s="41">
        <v>0.0196</v>
      </c>
      <c r="F134" s="41">
        <v>-0.1123</v>
      </c>
      <c r="G134" s="41">
        <v>-0.0349</v>
      </c>
      <c r="H134" s="53" t="s">
        <v>35</v>
      </c>
      <c r="I134" s="52" t="s">
        <v>48</v>
      </c>
      <c r="J134" s="49"/>
    </row>
    <row r="135">
      <c r="B135" s="40" t="s">
        <v>12</v>
      </c>
      <c r="C135" s="40" t="s">
        <v>10</v>
      </c>
      <c r="D135" s="41">
        <v>-0.0272</v>
      </c>
      <c r="E135" s="41">
        <v>0.0254</v>
      </c>
      <c r="F135" s="41">
        <v>-0.0774</v>
      </c>
      <c r="G135" s="41">
        <v>0.023</v>
      </c>
      <c r="H135" s="53">
        <v>0.2859</v>
      </c>
      <c r="I135" s="52" t="s">
        <v>49</v>
      </c>
      <c r="J135" s="49"/>
    </row>
    <row r="136">
      <c r="B136" s="44" t="s">
        <v>11</v>
      </c>
      <c r="C136" s="44" t="s">
        <v>10</v>
      </c>
      <c r="D136" s="45">
        <v>0.0464</v>
      </c>
      <c r="E136" s="45">
        <v>0.0256</v>
      </c>
      <c r="F136" s="45">
        <v>-0.0041</v>
      </c>
      <c r="G136" s="45">
        <v>0.0969</v>
      </c>
      <c r="H136" s="54">
        <v>0.0714</v>
      </c>
      <c r="I136" s="51" t="s">
        <v>49</v>
      </c>
      <c r="J136" s="49"/>
    </row>
  </sheetData>
  <mergeCells count="5">
    <mergeCell ref="B2:F2"/>
    <mergeCell ref="B106:J106"/>
    <mergeCell ref="B115:D115"/>
    <mergeCell ref="B120:F120"/>
    <mergeCell ref="B125:I1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33" t="s">
        <v>59</v>
      </c>
      <c r="C2" s="34"/>
      <c r="D2" s="34"/>
      <c r="E2" s="34"/>
      <c r="F2" s="34"/>
    </row>
    <row r="3">
      <c r="B3" s="35" t="s">
        <v>8</v>
      </c>
      <c r="C3" s="35" t="s">
        <v>7</v>
      </c>
      <c r="D3" s="35" t="s">
        <v>12</v>
      </c>
      <c r="E3" s="35" t="s">
        <v>9</v>
      </c>
      <c r="F3" s="35" t="s">
        <v>10</v>
      </c>
    </row>
    <row r="4">
      <c r="B4" s="36">
        <v>0.8</v>
      </c>
      <c r="C4" s="36">
        <v>0.64</v>
      </c>
      <c r="D4" s="36">
        <v>0.6</v>
      </c>
      <c r="E4" s="36">
        <v>0.45</v>
      </c>
      <c r="F4" s="36">
        <v>0.58</v>
      </c>
    </row>
    <row r="5">
      <c r="B5" s="36">
        <v>0.75</v>
      </c>
      <c r="C5" s="36">
        <v>0.72</v>
      </c>
      <c r="D5" s="36">
        <v>0.53</v>
      </c>
      <c r="E5" s="36">
        <v>0.27</v>
      </c>
      <c r="F5" s="36">
        <v>0.45</v>
      </c>
    </row>
    <row r="6">
      <c r="B6" s="36">
        <v>0.78</v>
      </c>
      <c r="C6" s="36">
        <v>0.68</v>
      </c>
      <c r="D6" s="36">
        <v>0.6</v>
      </c>
      <c r="E6" s="36">
        <v>0.23</v>
      </c>
      <c r="F6" s="36">
        <v>0.54</v>
      </c>
    </row>
    <row r="7">
      <c r="B7" s="36">
        <v>0.73</v>
      </c>
      <c r="C7" s="36">
        <v>0.81</v>
      </c>
      <c r="D7" s="36">
        <v>0.66</v>
      </c>
      <c r="E7" s="36">
        <v>0.71</v>
      </c>
      <c r="F7" s="36">
        <v>0.66</v>
      </c>
    </row>
    <row r="8">
      <c r="B8" s="36">
        <v>0.71</v>
      </c>
      <c r="C8" s="36">
        <v>0.76</v>
      </c>
      <c r="D8" s="36">
        <v>0.67</v>
      </c>
      <c r="E8" s="36">
        <v>0.14</v>
      </c>
      <c r="F8" s="36">
        <v>0.59</v>
      </c>
    </row>
    <row r="9">
      <c r="B9" s="36">
        <v>0.67</v>
      </c>
      <c r="C9" s="36">
        <v>0.67</v>
      </c>
      <c r="D9" s="36">
        <v>0.69</v>
      </c>
      <c r="E9" s="36">
        <v>0.38</v>
      </c>
      <c r="F9" s="36">
        <v>0.48</v>
      </c>
    </row>
    <row r="10">
      <c r="B10" s="36">
        <v>0.76</v>
      </c>
      <c r="C10" s="36">
        <v>-0.09</v>
      </c>
      <c r="D10" s="36">
        <v>0.55</v>
      </c>
      <c r="E10" s="36">
        <v>0.52</v>
      </c>
      <c r="F10" s="36">
        <v>0.66</v>
      </c>
    </row>
    <row r="11">
      <c r="B11" s="36">
        <v>0.81</v>
      </c>
      <c r="C11" s="36">
        <v>0.65</v>
      </c>
      <c r="D11" s="36">
        <v>0.62</v>
      </c>
      <c r="E11" s="36">
        <v>0.5</v>
      </c>
      <c r="F11" s="36">
        <v>0.58</v>
      </c>
    </row>
    <row r="12">
      <c r="B12" s="36">
        <v>0.8</v>
      </c>
      <c r="C12" s="36">
        <v>0.56</v>
      </c>
      <c r="D12" s="36">
        <v>0.57</v>
      </c>
      <c r="E12" s="36">
        <v>0.5</v>
      </c>
      <c r="F12" s="36">
        <v>0.58</v>
      </c>
    </row>
    <row r="13">
      <c r="B13" s="36">
        <v>0.8</v>
      </c>
      <c r="C13" s="36">
        <v>0.56</v>
      </c>
      <c r="D13" s="36">
        <v>0.57</v>
      </c>
      <c r="E13" s="36">
        <v>0.55</v>
      </c>
      <c r="F13" s="36">
        <v>0.65</v>
      </c>
    </row>
    <row r="14">
      <c r="B14" s="36">
        <v>0.54</v>
      </c>
      <c r="C14" s="36">
        <v>0.86</v>
      </c>
      <c r="D14" s="36">
        <v>0.67</v>
      </c>
      <c r="E14" s="36">
        <v>0.26</v>
      </c>
      <c r="F14" s="36">
        <v>0.49</v>
      </c>
    </row>
    <row r="15">
      <c r="B15" s="36">
        <v>0.76</v>
      </c>
      <c r="C15" s="36">
        <v>0.75</v>
      </c>
      <c r="D15" s="36">
        <v>0.64</v>
      </c>
      <c r="E15" s="36">
        <v>0.51</v>
      </c>
      <c r="F15" s="36">
        <v>0.66</v>
      </c>
    </row>
    <row r="16">
      <c r="B16" s="36">
        <v>0.79</v>
      </c>
      <c r="C16" s="36">
        <v>0.66</v>
      </c>
      <c r="D16" s="36">
        <v>0.59</v>
      </c>
      <c r="E16" s="36">
        <v>0.26</v>
      </c>
      <c r="F16" s="36">
        <v>0.66</v>
      </c>
    </row>
    <row r="17">
      <c r="B17" s="36">
        <v>0.77</v>
      </c>
      <c r="C17" s="36">
        <v>0.57</v>
      </c>
      <c r="D17" s="36">
        <v>0.64</v>
      </c>
      <c r="E17" s="36">
        <v>0.41</v>
      </c>
      <c r="F17" s="36">
        <v>0.61</v>
      </c>
    </row>
    <row r="18">
      <c r="B18" s="36">
        <v>0.77</v>
      </c>
      <c r="C18" s="36">
        <v>0.67</v>
      </c>
      <c r="D18" s="36">
        <v>0.71</v>
      </c>
      <c r="E18" s="36">
        <v>0.72</v>
      </c>
      <c r="F18" s="36">
        <v>0.72</v>
      </c>
    </row>
    <row r="19">
      <c r="B19" s="36">
        <v>0.73</v>
      </c>
      <c r="C19" s="36">
        <v>0.39</v>
      </c>
      <c r="D19" s="36">
        <v>0.27</v>
      </c>
      <c r="E19" s="36">
        <v>0.43</v>
      </c>
      <c r="F19" s="36">
        <v>0.72</v>
      </c>
    </row>
    <row r="20">
      <c r="B20" s="36">
        <v>0.78</v>
      </c>
      <c r="C20" s="36">
        <v>0.81</v>
      </c>
      <c r="D20" s="36">
        <v>0.71</v>
      </c>
      <c r="E20" s="36">
        <v>0.23</v>
      </c>
      <c r="F20" s="36">
        <v>0.59</v>
      </c>
    </row>
    <row r="21">
      <c r="B21" s="36">
        <v>0.78</v>
      </c>
      <c r="C21" s="36">
        <v>0.79</v>
      </c>
      <c r="D21" s="36">
        <v>0.84</v>
      </c>
      <c r="E21" s="36">
        <v>0.39</v>
      </c>
      <c r="F21" s="36">
        <v>0.68</v>
      </c>
    </row>
    <row r="22">
      <c r="B22" s="36">
        <v>0.58</v>
      </c>
      <c r="C22" s="36">
        <v>0.85</v>
      </c>
      <c r="D22" s="36">
        <v>0.68</v>
      </c>
      <c r="E22" s="36">
        <v>0.75</v>
      </c>
      <c r="F22" s="36">
        <v>0.67</v>
      </c>
    </row>
    <row r="23">
      <c r="B23" s="36">
        <v>0.77</v>
      </c>
      <c r="C23" s="36">
        <v>0.87</v>
      </c>
      <c r="D23" s="36">
        <v>0.61</v>
      </c>
      <c r="E23" s="36">
        <v>0.53</v>
      </c>
      <c r="F23" s="36">
        <v>0.65</v>
      </c>
    </row>
    <row r="24">
      <c r="B24" s="36">
        <v>0.79</v>
      </c>
      <c r="C24" s="36">
        <v>0.52</v>
      </c>
      <c r="D24" s="36">
        <v>0.75</v>
      </c>
      <c r="E24" s="36">
        <v>0.35</v>
      </c>
      <c r="F24" s="36">
        <v>0.75</v>
      </c>
    </row>
    <row r="25">
      <c r="B25" s="36">
        <v>0.75</v>
      </c>
      <c r="C25" s="36">
        <v>0.62</v>
      </c>
      <c r="D25" s="36">
        <v>0.6</v>
      </c>
      <c r="E25" s="36">
        <v>0.08</v>
      </c>
      <c r="F25" s="36">
        <v>0.67</v>
      </c>
    </row>
    <row r="26">
      <c r="B26" s="36">
        <v>0.7</v>
      </c>
      <c r="C26" s="36">
        <v>0.44</v>
      </c>
      <c r="D26" s="36">
        <v>0.85</v>
      </c>
      <c r="E26" s="36">
        <v>0.64</v>
      </c>
      <c r="F26" s="36">
        <v>-0.15</v>
      </c>
    </row>
    <row r="27">
      <c r="B27" s="36">
        <v>0.73</v>
      </c>
      <c r="C27" s="36">
        <v>0.77</v>
      </c>
      <c r="D27" s="36">
        <v>0.71</v>
      </c>
      <c r="E27" s="36">
        <v>0.15</v>
      </c>
      <c r="F27" s="36">
        <v>0.32</v>
      </c>
    </row>
    <row r="28">
      <c r="B28" s="36">
        <v>0.78</v>
      </c>
      <c r="C28" s="36">
        <v>0.59</v>
      </c>
      <c r="D28" s="36">
        <v>0.79</v>
      </c>
      <c r="E28" s="36">
        <v>0.06</v>
      </c>
      <c r="F28" s="36">
        <v>0.75</v>
      </c>
    </row>
    <row r="29">
      <c r="B29" s="36">
        <v>0.78</v>
      </c>
      <c r="C29" s="36">
        <v>0.81</v>
      </c>
      <c r="D29" s="36">
        <v>0.71</v>
      </c>
      <c r="E29" s="36">
        <v>0.1</v>
      </c>
      <c r="F29" s="36">
        <v>0.53</v>
      </c>
    </row>
    <row r="30">
      <c r="B30" s="36">
        <v>0.78</v>
      </c>
      <c r="C30" s="36">
        <v>0.74</v>
      </c>
      <c r="D30" s="36">
        <v>0.77</v>
      </c>
      <c r="E30" s="36">
        <v>0.26</v>
      </c>
      <c r="F30" s="36">
        <v>0.67</v>
      </c>
    </row>
    <row r="31">
      <c r="B31" s="36">
        <v>0.86</v>
      </c>
      <c r="C31" s="36">
        <v>0.55</v>
      </c>
      <c r="D31" s="36">
        <v>0.69</v>
      </c>
      <c r="E31" s="36">
        <v>0.02</v>
      </c>
      <c r="F31" s="36">
        <v>0.58</v>
      </c>
    </row>
    <row r="32">
      <c r="B32" s="36">
        <v>0.77</v>
      </c>
      <c r="C32" s="36">
        <v>0.75</v>
      </c>
      <c r="D32" s="36">
        <v>0.63</v>
      </c>
      <c r="E32" s="36">
        <v>0.28</v>
      </c>
      <c r="F32" s="36">
        <v>0.57</v>
      </c>
    </row>
    <row r="33">
      <c r="B33" s="36">
        <v>0.81</v>
      </c>
      <c r="C33" s="36">
        <v>0.77</v>
      </c>
      <c r="D33" s="36">
        <v>0.51</v>
      </c>
      <c r="E33" s="36">
        <v>0.58</v>
      </c>
      <c r="F33" s="36">
        <v>0.75</v>
      </c>
    </row>
    <row r="34">
      <c r="B34" s="36">
        <v>0.82</v>
      </c>
      <c r="C34" s="36">
        <v>0.72</v>
      </c>
      <c r="D34" s="36">
        <v>0.76</v>
      </c>
      <c r="E34" s="36">
        <v>0.32</v>
      </c>
      <c r="F34" s="36">
        <v>0.66</v>
      </c>
    </row>
    <row r="35">
      <c r="B35" s="36">
        <v>0.72</v>
      </c>
      <c r="C35" s="36">
        <v>0.57</v>
      </c>
      <c r="D35" s="36">
        <v>0.65</v>
      </c>
      <c r="E35" s="36">
        <v>0.03</v>
      </c>
      <c r="F35" s="36">
        <v>0.45</v>
      </c>
    </row>
    <row r="36">
      <c r="B36" s="36">
        <v>0.78</v>
      </c>
      <c r="C36" s="36">
        <v>0.62</v>
      </c>
      <c r="D36" s="36">
        <v>0.63</v>
      </c>
      <c r="E36" s="36">
        <v>0.04</v>
      </c>
      <c r="F36" s="36">
        <v>0.59</v>
      </c>
    </row>
    <row r="37">
      <c r="B37" s="36">
        <v>0.67</v>
      </c>
      <c r="C37" s="36">
        <v>0.8</v>
      </c>
      <c r="D37" s="36">
        <v>0.72</v>
      </c>
      <c r="E37" s="36">
        <v>0.25</v>
      </c>
      <c r="F37" s="36">
        <v>0.63</v>
      </c>
    </row>
    <row r="38">
      <c r="B38" s="36">
        <v>0.79</v>
      </c>
      <c r="C38" s="36">
        <v>0.4</v>
      </c>
      <c r="D38" s="36">
        <v>0.78</v>
      </c>
      <c r="E38" s="36">
        <v>0.04</v>
      </c>
      <c r="F38" s="36">
        <v>0.72</v>
      </c>
    </row>
    <row r="39">
      <c r="B39" s="36">
        <v>0.79</v>
      </c>
      <c r="C39" s="36">
        <v>0.6</v>
      </c>
      <c r="D39" s="36">
        <v>0.62</v>
      </c>
      <c r="E39" s="36">
        <v>0.53</v>
      </c>
      <c r="F39" s="36">
        <v>0.52</v>
      </c>
    </row>
    <row r="40">
      <c r="B40" s="36">
        <v>0.8</v>
      </c>
      <c r="C40" s="36">
        <v>0.63</v>
      </c>
      <c r="D40" s="36">
        <v>0.68</v>
      </c>
      <c r="E40" s="36">
        <v>0.37</v>
      </c>
      <c r="F40" s="36">
        <v>0.71</v>
      </c>
    </row>
    <row r="41">
      <c r="B41" s="36">
        <v>0.87</v>
      </c>
      <c r="C41" s="36">
        <v>0.78</v>
      </c>
      <c r="D41" s="36">
        <v>0.64</v>
      </c>
      <c r="E41" s="36">
        <v>0.05</v>
      </c>
      <c r="F41" s="36">
        <v>0.6</v>
      </c>
    </row>
    <row r="42">
      <c r="B42" s="36">
        <v>0.73</v>
      </c>
      <c r="C42" s="36">
        <v>0.54</v>
      </c>
      <c r="D42" s="36">
        <v>0.59</v>
      </c>
      <c r="E42" s="36">
        <v>0.48</v>
      </c>
      <c r="F42" s="36">
        <v>0.66</v>
      </c>
    </row>
    <row r="43">
      <c r="B43" s="36">
        <v>0.18</v>
      </c>
      <c r="C43" s="36">
        <v>0.7</v>
      </c>
      <c r="D43" s="36">
        <v>0.62</v>
      </c>
      <c r="E43" s="36">
        <v>0.24</v>
      </c>
      <c r="F43" s="36">
        <v>0.18</v>
      </c>
    </row>
    <row r="44">
      <c r="B44" s="36">
        <v>0.57</v>
      </c>
      <c r="C44" s="36">
        <v>0.39</v>
      </c>
      <c r="D44" s="36">
        <v>0.72</v>
      </c>
      <c r="E44" s="36">
        <v>0.44</v>
      </c>
      <c r="F44" s="36">
        <v>0.65</v>
      </c>
    </row>
    <row r="45">
      <c r="B45" s="36">
        <v>0.74</v>
      </c>
      <c r="C45" s="36">
        <v>0.78</v>
      </c>
      <c r="D45" s="36">
        <v>0.5</v>
      </c>
      <c r="E45" s="36">
        <v>0.24</v>
      </c>
      <c r="F45" s="36">
        <v>0.66</v>
      </c>
    </row>
    <row r="46">
      <c r="B46" s="36">
        <v>0.77</v>
      </c>
      <c r="C46" s="36">
        <v>0.72</v>
      </c>
      <c r="D46" s="36">
        <v>0.37</v>
      </c>
      <c r="E46" s="36">
        <v>0.55</v>
      </c>
      <c r="F46" s="36">
        <v>0.61</v>
      </c>
    </row>
    <row r="47">
      <c r="B47" s="36">
        <v>0.77</v>
      </c>
      <c r="C47" s="36">
        <v>0.49</v>
      </c>
      <c r="D47" s="36">
        <v>0.64</v>
      </c>
      <c r="E47" s="36">
        <v>0.61</v>
      </c>
      <c r="F47" s="36">
        <v>0.25</v>
      </c>
    </row>
    <row r="48">
      <c r="B48" s="36">
        <v>0.75</v>
      </c>
      <c r="C48" s="36">
        <v>0.69</v>
      </c>
      <c r="D48" s="36">
        <v>0.73</v>
      </c>
      <c r="E48" s="36">
        <v>0.42</v>
      </c>
      <c r="F48" s="36">
        <v>0.68</v>
      </c>
    </row>
    <row r="49">
      <c r="B49" s="36">
        <v>0.74</v>
      </c>
      <c r="C49" s="36">
        <v>0.47</v>
      </c>
      <c r="D49" s="36">
        <v>0.32</v>
      </c>
      <c r="E49" s="36">
        <v>0.32</v>
      </c>
      <c r="F49" s="36">
        <v>0.6</v>
      </c>
    </row>
    <row r="50">
      <c r="B50" s="36">
        <v>0.76</v>
      </c>
      <c r="C50" s="36">
        <v>0.71</v>
      </c>
      <c r="D50" s="36">
        <v>0.69</v>
      </c>
      <c r="E50" s="36">
        <v>0.06</v>
      </c>
      <c r="F50" s="36">
        <v>0.74</v>
      </c>
    </row>
    <row r="51">
      <c r="B51" s="36">
        <v>0.78</v>
      </c>
      <c r="C51" s="36">
        <v>0.74</v>
      </c>
      <c r="D51" s="36">
        <v>0.6</v>
      </c>
      <c r="E51" s="36">
        <v>0.45</v>
      </c>
      <c r="F51" s="36">
        <v>0.72</v>
      </c>
    </row>
    <row r="52">
      <c r="B52" s="36">
        <v>0.6</v>
      </c>
      <c r="C52" s="36">
        <v>0.78</v>
      </c>
      <c r="D52" s="36">
        <v>0.57</v>
      </c>
      <c r="E52" s="36">
        <v>0.36</v>
      </c>
      <c r="F52" s="36">
        <v>0.67</v>
      </c>
    </row>
    <row r="53">
      <c r="B53" s="36">
        <v>0.77</v>
      </c>
      <c r="C53" s="36">
        <v>0.56</v>
      </c>
      <c r="D53" s="36">
        <v>0.62</v>
      </c>
      <c r="E53" s="36">
        <v>0.68</v>
      </c>
      <c r="F53" s="36">
        <v>0.76</v>
      </c>
    </row>
    <row r="54">
      <c r="B54" s="36">
        <v>0.79</v>
      </c>
      <c r="C54" s="36">
        <v>0.63</v>
      </c>
      <c r="D54" s="36">
        <v>0.79</v>
      </c>
      <c r="E54" s="36">
        <v>0.28</v>
      </c>
      <c r="F54" s="36">
        <v>0.64</v>
      </c>
    </row>
    <row r="55">
      <c r="B55" s="36">
        <v>0.54</v>
      </c>
      <c r="C55" s="36">
        <v>0.67</v>
      </c>
      <c r="D55" s="36">
        <v>0.63</v>
      </c>
      <c r="E55" s="36">
        <v>0.02</v>
      </c>
      <c r="F55" s="36">
        <v>0.43</v>
      </c>
    </row>
    <row r="56">
      <c r="B56" s="36">
        <v>0.77</v>
      </c>
      <c r="C56" s="36">
        <v>0.74</v>
      </c>
      <c r="D56" s="36">
        <v>0.71</v>
      </c>
      <c r="E56" s="36">
        <v>-0.1</v>
      </c>
      <c r="F56" s="36">
        <v>0.64</v>
      </c>
    </row>
    <row r="57">
      <c r="B57" s="36">
        <v>0.55</v>
      </c>
      <c r="C57" s="36">
        <v>0.43</v>
      </c>
      <c r="D57" s="36">
        <v>0.69</v>
      </c>
      <c r="E57" s="36">
        <v>0.13</v>
      </c>
      <c r="F57" s="36">
        <v>0.53</v>
      </c>
    </row>
    <row r="58">
      <c r="B58" s="36">
        <v>0.72</v>
      </c>
      <c r="C58" s="36">
        <v>0.74</v>
      </c>
      <c r="D58" s="36">
        <v>0.64</v>
      </c>
      <c r="E58" s="36">
        <v>0.2</v>
      </c>
      <c r="F58" s="36">
        <v>0.57</v>
      </c>
    </row>
    <row r="59">
      <c r="B59" s="36">
        <v>0.78</v>
      </c>
      <c r="C59" s="36">
        <v>0.34</v>
      </c>
      <c r="D59" s="36">
        <v>0.61</v>
      </c>
      <c r="E59" s="36">
        <v>0.09</v>
      </c>
      <c r="F59" s="36">
        <v>0.52</v>
      </c>
    </row>
    <row r="60">
      <c r="B60" s="36">
        <v>0.75</v>
      </c>
      <c r="C60" s="36">
        <v>0.82</v>
      </c>
      <c r="D60" s="36">
        <v>0.68</v>
      </c>
      <c r="E60" s="36">
        <v>0.26</v>
      </c>
      <c r="F60" s="36">
        <v>0.65</v>
      </c>
    </row>
    <row r="61">
      <c r="B61" s="36">
        <v>0.74</v>
      </c>
      <c r="C61" s="36">
        <v>0.79</v>
      </c>
      <c r="D61" s="36">
        <v>0.56</v>
      </c>
      <c r="E61" s="36">
        <v>0.73</v>
      </c>
      <c r="F61" s="36">
        <v>0.72</v>
      </c>
    </row>
    <row r="62">
      <c r="B62" s="36">
        <v>0.71</v>
      </c>
      <c r="C62" s="36">
        <v>0.38</v>
      </c>
      <c r="D62" s="36">
        <v>0.61</v>
      </c>
      <c r="E62" s="36">
        <v>0.5</v>
      </c>
      <c r="F62" s="36">
        <v>0.56</v>
      </c>
    </row>
    <row r="63">
      <c r="B63" s="36">
        <v>0.6</v>
      </c>
      <c r="C63" s="36">
        <v>0.78</v>
      </c>
      <c r="D63" s="36">
        <v>0.78</v>
      </c>
      <c r="E63" s="36">
        <v>0.19</v>
      </c>
      <c r="F63" s="36">
        <v>0.68</v>
      </c>
    </row>
    <row r="64">
      <c r="B64" s="36">
        <v>0.68</v>
      </c>
      <c r="C64" s="36">
        <v>0.58</v>
      </c>
      <c r="D64" s="36">
        <v>0.71</v>
      </c>
      <c r="E64" s="36">
        <v>0.42</v>
      </c>
      <c r="F64" s="36">
        <v>0.63</v>
      </c>
    </row>
    <row r="65">
      <c r="B65" s="36">
        <v>0.78</v>
      </c>
      <c r="C65" s="36">
        <v>0.33</v>
      </c>
      <c r="D65" s="36">
        <v>0.44</v>
      </c>
      <c r="E65" s="36">
        <v>0.05</v>
      </c>
      <c r="F65" s="36">
        <v>0.83</v>
      </c>
    </row>
    <row r="66">
      <c r="B66" s="36">
        <v>0.64</v>
      </c>
      <c r="C66" s="36">
        <v>0.67</v>
      </c>
      <c r="D66" s="36">
        <v>0.51</v>
      </c>
      <c r="E66" s="36">
        <v>0.83</v>
      </c>
      <c r="F66" s="36">
        <v>0.5</v>
      </c>
    </row>
    <row r="67">
      <c r="B67" s="36">
        <v>0.72</v>
      </c>
      <c r="C67" s="36">
        <v>0.69</v>
      </c>
      <c r="D67" s="36">
        <v>0.46</v>
      </c>
      <c r="E67" s="36">
        <v>0.52</v>
      </c>
      <c r="F67" s="36">
        <v>0.69</v>
      </c>
    </row>
    <row r="68">
      <c r="B68" s="36">
        <v>0.77</v>
      </c>
      <c r="C68" s="36">
        <v>0.24</v>
      </c>
      <c r="D68" s="36">
        <v>0.73</v>
      </c>
      <c r="E68" s="36">
        <v>0.45</v>
      </c>
      <c r="F68" s="36">
        <v>0.63</v>
      </c>
    </row>
    <row r="69">
      <c r="B69" s="36">
        <v>0.77</v>
      </c>
      <c r="C69" s="36">
        <v>0.61</v>
      </c>
      <c r="D69" s="36">
        <v>0.73</v>
      </c>
      <c r="E69" s="36">
        <v>0.5</v>
      </c>
      <c r="F69" s="36">
        <v>0.59</v>
      </c>
    </row>
    <row r="70">
      <c r="B70" s="36">
        <v>0.69</v>
      </c>
      <c r="C70" s="36">
        <v>0.68</v>
      </c>
      <c r="D70" s="36">
        <v>0.29</v>
      </c>
      <c r="E70" s="36">
        <v>0.2</v>
      </c>
      <c r="F70" s="36">
        <v>0.24</v>
      </c>
    </row>
    <row r="71">
      <c r="B71" s="36">
        <v>0.68</v>
      </c>
      <c r="C71" s="36">
        <v>0.84</v>
      </c>
      <c r="D71" s="36">
        <v>0.6</v>
      </c>
      <c r="E71" s="36">
        <v>0.25</v>
      </c>
      <c r="F71" s="36">
        <v>0.76</v>
      </c>
    </row>
    <row r="72">
      <c r="B72" s="36">
        <v>0.59</v>
      </c>
      <c r="C72" s="36">
        <v>0.31</v>
      </c>
      <c r="D72" s="36">
        <v>0.78</v>
      </c>
      <c r="E72" s="36">
        <v>0.42</v>
      </c>
      <c r="F72" s="36">
        <v>0.89</v>
      </c>
    </row>
    <row r="73">
      <c r="B73" s="36">
        <v>0.76</v>
      </c>
      <c r="C73" s="36">
        <v>0.7</v>
      </c>
      <c r="D73" s="36">
        <v>0.55</v>
      </c>
      <c r="E73" s="36">
        <v>0.48</v>
      </c>
      <c r="F73" s="36">
        <v>0.65</v>
      </c>
    </row>
    <row r="74">
      <c r="B74" s="36">
        <v>0.78</v>
      </c>
      <c r="C74" s="36">
        <v>0.52</v>
      </c>
      <c r="D74" s="36">
        <v>0.59</v>
      </c>
      <c r="E74" s="36">
        <v>0.67</v>
      </c>
      <c r="F74" s="36">
        <v>0.74</v>
      </c>
    </row>
    <row r="75">
      <c r="B75" s="36">
        <v>0.66</v>
      </c>
      <c r="C75" s="36">
        <v>0.78</v>
      </c>
      <c r="D75" s="36">
        <v>0.49</v>
      </c>
      <c r="E75" s="36">
        <v>0.72</v>
      </c>
      <c r="F75" s="36">
        <v>0.68</v>
      </c>
    </row>
    <row r="76">
      <c r="B76" s="36">
        <v>0.81</v>
      </c>
      <c r="C76" s="36">
        <v>0.65</v>
      </c>
      <c r="D76" s="36">
        <v>0.74</v>
      </c>
      <c r="E76" s="36">
        <v>0.85</v>
      </c>
      <c r="F76" s="36">
        <v>0.66</v>
      </c>
    </row>
    <row r="77">
      <c r="B77" s="36">
        <v>0.77</v>
      </c>
      <c r="C77" s="36">
        <v>0.84</v>
      </c>
      <c r="D77" s="36">
        <v>0.69</v>
      </c>
      <c r="E77" s="36">
        <v>0.45</v>
      </c>
      <c r="F77" s="36">
        <v>0.69</v>
      </c>
    </row>
    <row r="78">
      <c r="B78" s="36">
        <v>1.01</v>
      </c>
      <c r="C78" s="36">
        <v>0.09</v>
      </c>
      <c r="D78" s="36">
        <v>0.76</v>
      </c>
      <c r="E78" s="36">
        <v>0.03</v>
      </c>
      <c r="F78" s="36">
        <v>0.46</v>
      </c>
    </row>
    <row r="79">
      <c r="B79" s="36">
        <v>0.76</v>
      </c>
      <c r="C79" s="36">
        <v>0.68</v>
      </c>
      <c r="D79" s="36">
        <v>0.66</v>
      </c>
      <c r="E79" s="36">
        <v>0.25</v>
      </c>
      <c r="F79" s="36">
        <v>0.71</v>
      </c>
    </row>
    <row r="80">
      <c r="B80" s="36">
        <v>0.72</v>
      </c>
      <c r="C80" s="36">
        <v>0.02</v>
      </c>
      <c r="D80" s="36">
        <v>0.69</v>
      </c>
      <c r="E80" s="36">
        <v>0.14</v>
      </c>
      <c r="F80" s="36">
        <v>0.16</v>
      </c>
    </row>
    <row r="81">
      <c r="B81" s="36">
        <v>0.75</v>
      </c>
      <c r="C81" s="36">
        <v>0.6</v>
      </c>
      <c r="D81" s="36">
        <v>0.66</v>
      </c>
      <c r="E81" s="36">
        <v>0.19</v>
      </c>
      <c r="F81" s="36">
        <v>0.63</v>
      </c>
    </row>
    <row r="82">
      <c r="B82" s="36">
        <v>0.76</v>
      </c>
      <c r="C82" s="36">
        <v>0.84</v>
      </c>
      <c r="D82" s="36">
        <v>0.56</v>
      </c>
      <c r="E82" s="36">
        <v>0.13</v>
      </c>
      <c r="F82" s="36">
        <v>0.58</v>
      </c>
    </row>
    <row r="83">
      <c r="B83" s="36">
        <v>0.79</v>
      </c>
      <c r="C83" s="36">
        <v>0.77</v>
      </c>
      <c r="D83" s="36">
        <v>0.69</v>
      </c>
      <c r="E83" s="36">
        <v>0.16</v>
      </c>
      <c r="F83" s="36">
        <v>0.48</v>
      </c>
    </row>
    <row r="84">
      <c r="B84" s="36">
        <v>0.59</v>
      </c>
      <c r="C84" s="36">
        <v>0.78</v>
      </c>
      <c r="D84" s="36">
        <v>0.62</v>
      </c>
      <c r="E84" s="36">
        <v>0.39</v>
      </c>
      <c r="F84" s="36">
        <v>0.71</v>
      </c>
    </row>
    <row r="85">
      <c r="B85" s="36">
        <v>0.82</v>
      </c>
      <c r="C85" s="36">
        <v>0.79</v>
      </c>
      <c r="D85" s="36">
        <v>0.68</v>
      </c>
      <c r="E85" s="36">
        <v>0.37</v>
      </c>
      <c r="F85" s="36">
        <v>0.69</v>
      </c>
    </row>
    <row r="86">
      <c r="B86" s="36">
        <v>0.77</v>
      </c>
      <c r="C86" s="36">
        <v>0.67</v>
      </c>
      <c r="D86" s="36">
        <v>0.74</v>
      </c>
      <c r="E86" s="36">
        <v>0.33</v>
      </c>
      <c r="F86" s="36">
        <v>0.59</v>
      </c>
    </row>
    <row r="87">
      <c r="B87" s="36">
        <v>0.76</v>
      </c>
      <c r="C87" s="36">
        <v>0.61</v>
      </c>
      <c r="D87" s="36">
        <v>0.64</v>
      </c>
      <c r="E87" s="36">
        <v>0.04</v>
      </c>
      <c r="F87" s="36">
        <v>0.77</v>
      </c>
    </row>
    <row r="88">
      <c r="B88" s="36">
        <v>0.73</v>
      </c>
      <c r="C88" s="36">
        <v>0.68</v>
      </c>
      <c r="D88" s="36">
        <v>0.63</v>
      </c>
      <c r="E88" s="36">
        <v>0.29</v>
      </c>
      <c r="F88" s="36">
        <v>0.65</v>
      </c>
    </row>
    <row r="89">
      <c r="B89" s="36">
        <v>0.79</v>
      </c>
      <c r="C89" s="36">
        <v>0.73</v>
      </c>
      <c r="D89" s="36">
        <v>0.51</v>
      </c>
      <c r="E89" s="36">
        <v>0.41</v>
      </c>
      <c r="F89" s="36">
        <v>0.51</v>
      </c>
    </row>
    <row r="90">
      <c r="B90" s="36">
        <v>0.65</v>
      </c>
      <c r="C90" s="36">
        <v>0.74</v>
      </c>
      <c r="D90" s="36">
        <v>0.67</v>
      </c>
      <c r="E90" s="36">
        <v>0.02</v>
      </c>
      <c r="F90" s="36">
        <v>0.59</v>
      </c>
    </row>
    <row r="91">
      <c r="B91" s="36">
        <v>0.8</v>
      </c>
      <c r="C91" s="36">
        <v>0.79</v>
      </c>
      <c r="D91" s="36">
        <v>0.63</v>
      </c>
      <c r="E91" s="36">
        <v>0.49</v>
      </c>
      <c r="F91" s="36">
        <v>0.65</v>
      </c>
    </row>
    <row r="92">
      <c r="B92" s="36">
        <v>0.76</v>
      </c>
      <c r="C92" s="36">
        <v>-0.12</v>
      </c>
      <c r="D92" s="36">
        <v>0.56</v>
      </c>
      <c r="E92" s="36">
        <v>0.43</v>
      </c>
      <c r="F92" s="36">
        <v>0.7</v>
      </c>
    </row>
    <row r="93">
      <c r="B93" s="36">
        <v>0.79</v>
      </c>
      <c r="C93" s="36">
        <v>0.76</v>
      </c>
      <c r="D93" s="36">
        <v>0.82</v>
      </c>
      <c r="E93" s="36">
        <v>0.55</v>
      </c>
      <c r="F93" s="36">
        <v>0.67</v>
      </c>
    </row>
    <row r="94">
      <c r="B94" s="36">
        <v>0.75</v>
      </c>
      <c r="C94" s="36">
        <v>0.73</v>
      </c>
      <c r="D94" s="36">
        <v>0.41</v>
      </c>
      <c r="E94" s="36">
        <v>0.29</v>
      </c>
      <c r="F94" s="36">
        <v>0.62</v>
      </c>
    </row>
    <row r="95">
      <c r="B95" s="36">
        <v>0.86</v>
      </c>
      <c r="C95" s="36">
        <v>0.8</v>
      </c>
      <c r="D95" s="36">
        <v>0.71</v>
      </c>
      <c r="E95" s="36">
        <v>0.09</v>
      </c>
      <c r="F95" s="36">
        <v>0.46</v>
      </c>
    </row>
    <row r="96">
      <c r="B96" s="36">
        <v>0.77</v>
      </c>
      <c r="C96" s="36">
        <v>0.68</v>
      </c>
      <c r="D96" s="36">
        <v>0.62</v>
      </c>
      <c r="E96" s="36">
        <v>0.19</v>
      </c>
      <c r="F96" s="36">
        <v>0.72</v>
      </c>
    </row>
    <row r="97">
      <c r="B97" s="36">
        <v>0.84</v>
      </c>
      <c r="C97" s="36">
        <v>0.6</v>
      </c>
      <c r="D97" s="36">
        <v>0.72</v>
      </c>
      <c r="E97" s="36">
        <v>0.2</v>
      </c>
      <c r="F97" s="36">
        <v>0.64</v>
      </c>
    </row>
    <row r="98">
      <c r="B98" s="36">
        <v>0.71</v>
      </c>
      <c r="C98" s="36">
        <v>0.67</v>
      </c>
      <c r="D98" s="36">
        <v>0.66</v>
      </c>
      <c r="E98" s="36">
        <v>0.19</v>
      </c>
      <c r="F98" s="36">
        <v>0.58</v>
      </c>
    </row>
    <row r="99">
      <c r="B99" s="36">
        <v>0.78</v>
      </c>
      <c r="C99" s="36">
        <v>0.76</v>
      </c>
      <c r="D99" s="36">
        <v>0.59</v>
      </c>
      <c r="E99" s="36">
        <v>0.73</v>
      </c>
      <c r="F99" s="36">
        <v>0.69</v>
      </c>
    </row>
    <row r="100">
      <c r="B100" s="36">
        <v>0.77</v>
      </c>
      <c r="C100" s="36">
        <v>0.7</v>
      </c>
      <c r="D100" s="36">
        <v>0.65</v>
      </c>
      <c r="E100" s="36">
        <v>0.04</v>
      </c>
      <c r="F100" s="36">
        <v>0.72</v>
      </c>
    </row>
    <row r="101">
      <c r="B101" s="36">
        <v>0.88</v>
      </c>
      <c r="C101" s="36">
        <v>0.59</v>
      </c>
      <c r="D101" s="36">
        <v>0.65</v>
      </c>
      <c r="E101" s="36">
        <v>0.46</v>
      </c>
      <c r="F101" s="36">
        <v>0.47</v>
      </c>
    </row>
    <row r="102">
      <c r="B102" s="36">
        <v>0.77</v>
      </c>
      <c r="C102" s="36">
        <v>0.64</v>
      </c>
      <c r="D102" s="36">
        <v>0.63</v>
      </c>
      <c r="E102" s="36">
        <v>0.27</v>
      </c>
      <c r="F102" s="36">
        <v>0.66</v>
      </c>
    </row>
    <row r="103">
      <c r="B103" s="37">
        <v>0.77</v>
      </c>
      <c r="C103" s="37">
        <v>0.64</v>
      </c>
      <c r="D103" s="37">
        <v>0.7</v>
      </c>
      <c r="E103" s="37">
        <v>0.18</v>
      </c>
      <c r="F103" s="37">
        <v>0.4</v>
      </c>
    </row>
    <row r="106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>
      <c r="B108" s="40" t="s">
        <v>8</v>
      </c>
      <c r="C108" s="41">
        <v>0.7423</v>
      </c>
      <c r="D108" s="41">
        <v>0.0937</v>
      </c>
      <c r="E108" s="41">
        <v>0.77</v>
      </c>
      <c r="F108" s="41">
        <v>0.7239</v>
      </c>
      <c r="G108" s="41">
        <v>0.7607</v>
      </c>
      <c r="H108" s="42">
        <v>0.18</v>
      </c>
      <c r="I108" s="42">
        <v>1.01</v>
      </c>
      <c r="J108" s="43">
        <v>12.6</v>
      </c>
    </row>
    <row r="109">
      <c r="B109" s="40" t="s">
        <v>7</v>
      </c>
      <c r="C109" s="41">
        <v>0.6343</v>
      </c>
      <c r="D109" s="41">
        <v>0.1909</v>
      </c>
      <c r="E109" s="41">
        <v>0.68</v>
      </c>
      <c r="F109" s="41">
        <v>0.5969</v>
      </c>
      <c r="G109" s="41">
        <v>0.6717</v>
      </c>
      <c r="H109" s="42">
        <v>-0.12</v>
      </c>
      <c r="I109" s="42">
        <v>0.87</v>
      </c>
      <c r="J109" s="43">
        <v>30.1</v>
      </c>
    </row>
    <row r="110">
      <c r="B110" s="40" t="s">
        <v>12</v>
      </c>
      <c r="C110" s="41">
        <v>0.6375</v>
      </c>
      <c r="D110" s="41">
        <v>0.1076</v>
      </c>
      <c r="E110" s="41">
        <v>0.64</v>
      </c>
      <c r="F110" s="41">
        <v>0.6164</v>
      </c>
      <c r="G110" s="41">
        <v>0.6586</v>
      </c>
      <c r="H110" s="42">
        <v>0.27</v>
      </c>
      <c r="I110" s="42">
        <v>0.85</v>
      </c>
      <c r="J110" s="43">
        <v>16.9</v>
      </c>
    </row>
    <row r="111">
      <c r="B111" s="40" t="s">
        <v>9</v>
      </c>
      <c r="C111" s="41">
        <v>0.3371</v>
      </c>
      <c r="D111" s="41">
        <v>0.2153</v>
      </c>
      <c r="E111" s="41">
        <v>0.32</v>
      </c>
      <c r="F111" s="41">
        <v>0.2949</v>
      </c>
      <c r="G111" s="41">
        <v>0.3793</v>
      </c>
      <c r="H111" s="42">
        <v>-0.1</v>
      </c>
      <c r="I111" s="42">
        <v>0.85</v>
      </c>
      <c r="J111" s="43">
        <v>63.9</v>
      </c>
    </row>
    <row r="112">
      <c r="B112" s="44" t="s">
        <v>10</v>
      </c>
      <c r="C112" s="45">
        <v>0.6035</v>
      </c>
      <c r="D112" s="45">
        <v>0.1469</v>
      </c>
      <c r="E112" s="45">
        <v>0.645</v>
      </c>
      <c r="F112" s="45">
        <v>0.5747</v>
      </c>
      <c r="G112" s="45">
        <v>0.6323</v>
      </c>
      <c r="H112" s="46">
        <v>-0.15</v>
      </c>
      <c r="I112" s="47">
        <v>0.89</v>
      </c>
      <c r="J112" s="48">
        <v>24.3</v>
      </c>
    </row>
    <row r="113">
      <c r="B113" s="40"/>
      <c r="C113" s="41"/>
      <c r="D113" s="41"/>
      <c r="E113" s="41"/>
      <c r="F113" s="41"/>
      <c r="G113" s="41"/>
      <c r="H113" s="42"/>
      <c r="I113" s="42"/>
      <c r="J113" s="43"/>
    </row>
    <row r="114">
      <c r="B114" s="49"/>
      <c r="C114" s="49"/>
      <c r="D114" s="49"/>
      <c r="E114" s="49"/>
      <c r="F114" s="49"/>
      <c r="G114" s="49"/>
      <c r="H114" s="49"/>
      <c r="I114" s="49"/>
      <c r="J114" s="49"/>
    </row>
    <row r="115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>
      <c r="B117" s="45">
        <v>18.9107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>
      <c r="B118" s="41"/>
      <c r="C118" s="42"/>
      <c r="D118" s="52"/>
      <c r="E118" s="49"/>
      <c r="F118" s="49"/>
      <c r="G118" s="49"/>
      <c r="H118" s="49"/>
      <c r="I118" s="49"/>
      <c r="J118" s="49"/>
    </row>
    <row r="119">
      <c r="B119" s="49"/>
      <c r="C119" s="49"/>
      <c r="D119" s="49"/>
      <c r="E119" s="49"/>
      <c r="F119" s="49"/>
      <c r="G119" s="49"/>
      <c r="H119" s="49"/>
      <c r="I119" s="49"/>
      <c r="J119" s="49"/>
    </row>
    <row r="120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>
      <c r="B122" s="47">
        <v>79.426</v>
      </c>
      <c r="C122" s="47">
        <v>4.0</v>
      </c>
      <c r="D122" s="47">
        <v>10.0</v>
      </c>
      <c r="E122" s="50" t="s">
        <v>35</v>
      </c>
      <c r="F122" s="51" t="s">
        <v>41</v>
      </c>
      <c r="G122" s="49"/>
      <c r="H122" s="49"/>
      <c r="I122" s="49"/>
      <c r="J122" s="49"/>
    </row>
    <row r="123">
      <c r="B123" s="42"/>
      <c r="C123" s="42"/>
      <c r="D123" s="42"/>
      <c r="E123" s="42"/>
      <c r="F123" s="52"/>
      <c r="G123" s="49"/>
      <c r="H123" s="49"/>
      <c r="I123" s="49"/>
      <c r="J123" s="49"/>
    </row>
    <row r="124">
      <c r="B124" s="49"/>
      <c r="C124" s="49"/>
      <c r="D124" s="49"/>
      <c r="E124" s="49"/>
      <c r="F124" s="49"/>
      <c r="G124" s="49"/>
      <c r="H124" s="49"/>
      <c r="I124" s="49"/>
      <c r="J124" s="49"/>
    </row>
    <row r="125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>
      <c r="B127" s="40" t="s">
        <v>8</v>
      </c>
      <c r="C127" s="40" t="s">
        <v>7</v>
      </c>
      <c r="D127" s="41">
        <v>0.108</v>
      </c>
      <c r="E127" s="41">
        <v>0.0213</v>
      </c>
      <c r="F127" s="41">
        <v>0.066</v>
      </c>
      <c r="G127" s="41">
        <v>0.15</v>
      </c>
      <c r="H127" s="53" t="s">
        <v>35</v>
      </c>
      <c r="I127" s="52" t="s">
        <v>48</v>
      </c>
      <c r="J127" s="49"/>
    </row>
    <row r="128">
      <c r="B128" s="40" t="s">
        <v>8</v>
      </c>
      <c r="C128" s="40" t="s">
        <v>12</v>
      </c>
      <c r="D128" s="41">
        <v>0.1048</v>
      </c>
      <c r="E128" s="41">
        <v>0.0143</v>
      </c>
      <c r="F128" s="41">
        <v>0.0767</v>
      </c>
      <c r="G128" s="41">
        <v>0.1329</v>
      </c>
      <c r="H128" s="53" t="s">
        <v>35</v>
      </c>
      <c r="I128" s="52" t="s">
        <v>48</v>
      </c>
      <c r="J128" s="49"/>
    </row>
    <row r="129">
      <c r="B129" s="40" t="s">
        <v>8</v>
      </c>
      <c r="C129" s="40" t="s">
        <v>9</v>
      </c>
      <c r="D129" s="41">
        <v>0.4052</v>
      </c>
      <c r="E129" s="41">
        <v>0.0235</v>
      </c>
      <c r="F129" s="41">
        <v>0.3588</v>
      </c>
      <c r="G129" s="41">
        <v>0.4516</v>
      </c>
      <c r="H129" s="53" t="s">
        <v>35</v>
      </c>
      <c r="I129" s="52" t="s">
        <v>48</v>
      </c>
      <c r="J129" s="49"/>
    </row>
    <row r="130">
      <c r="B130" s="40" t="s">
        <v>8</v>
      </c>
      <c r="C130" s="40" t="s">
        <v>10</v>
      </c>
      <c r="D130" s="41">
        <v>0.1388</v>
      </c>
      <c r="E130" s="41">
        <v>0.0174</v>
      </c>
      <c r="F130" s="41">
        <v>0.1044</v>
      </c>
      <c r="G130" s="41">
        <v>0.1732</v>
      </c>
      <c r="H130" s="53" t="s">
        <v>35</v>
      </c>
      <c r="I130" s="52" t="s">
        <v>48</v>
      </c>
      <c r="J130" s="49"/>
    </row>
    <row r="131">
      <c r="B131" s="40" t="s">
        <v>7</v>
      </c>
      <c r="C131" s="40" t="s">
        <v>12</v>
      </c>
      <c r="D131" s="41">
        <v>-0.0032</v>
      </c>
      <c r="E131" s="41">
        <v>0.0219</v>
      </c>
      <c r="F131" s="41">
        <v>-0.0465</v>
      </c>
      <c r="G131" s="41">
        <v>0.0401</v>
      </c>
      <c r="H131" s="53">
        <v>0.8841</v>
      </c>
      <c r="I131" s="52" t="s">
        <v>49</v>
      </c>
      <c r="J131" s="49"/>
    </row>
    <row r="132">
      <c r="B132" s="40" t="s">
        <v>7</v>
      </c>
      <c r="C132" s="40" t="s">
        <v>9</v>
      </c>
      <c r="D132" s="41">
        <v>0.2972</v>
      </c>
      <c r="E132" s="41">
        <v>0.0288</v>
      </c>
      <c r="F132" s="41">
        <v>0.2405</v>
      </c>
      <c r="G132" s="41">
        <v>0.3539</v>
      </c>
      <c r="H132" s="53" t="s">
        <v>35</v>
      </c>
      <c r="I132" s="52" t="s">
        <v>48</v>
      </c>
      <c r="J132" s="49"/>
    </row>
    <row r="133">
      <c r="B133" s="40" t="s">
        <v>7</v>
      </c>
      <c r="C133" s="40" t="s">
        <v>10</v>
      </c>
      <c r="D133" s="41">
        <v>0.0308</v>
      </c>
      <c r="E133" s="41">
        <v>0.0241</v>
      </c>
      <c r="F133" s="41">
        <v>-0.0167</v>
      </c>
      <c r="G133" s="41">
        <v>0.0783</v>
      </c>
      <c r="H133" s="53">
        <v>0.2026</v>
      </c>
      <c r="I133" s="52" t="s">
        <v>49</v>
      </c>
      <c r="J133" s="49"/>
    </row>
    <row r="134">
      <c r="B134" s="40" t="s">
        <v>12</v>
      </c>
      <c r="C134" s="40" t="s">
        <v>9</v>
      </c>
      <c r="D134" s="41">
        <v>0.3004</v>
      </c>
      <c r="E134" s="41">
        <v>0.0241</v>
      </c>
      <c r="F134" s="41">
        <v>0.2528</v>
      </c>
      <c r="G134" s="41">
        <v>0.348</v>
      </c>
      <c r="H134" s="53" t="s">
        <v>35</v>
      </c>
      <c r="I134" s="52" t="s">
        <v>48</v>
      </c>
      <c r="J134" s="49"/>
    </row>
    <row r="135">
      <c r="B135" s="40" t="s">
        <v>12</v>
      </c>
      <c r="C135" s="40" t="s">
        <v>10</v>
      </c>
      <c r="D135" s="41">
        <v>0.034</v>
      </c>
      <c r="E135" s="41">
        <v>0.0182</v>
      </c>
      <c r="F135" s="41">
        <v>-0.0019</v>
      </c>
      <c r="G135" s="41">
        <v>0.0699</v>
      </c>
      <c r="H135" s="53">
        <v>0.0635</v>
      </c>
      <c r="I135" s="52" t="s">
        <v>49</v>
      </c>
      <c r="J135" s="49"/>
    </row>
    <row r="136">
      <c r="B136" s="44" t="s">
        <v>9</v>
      </c>
      <c r="C136" s="44" t="s">
        <v>10</v>
      </c>
      <c r="D136" s="45">
        <v>-0.2664</v>
      </c>
      <c r="E136" s="45">
        <v>0.0261</v>
      </c>
      <c r="F136" s="45">
        <v>-0.3178</v>
      </c>
      <c r="G136" s="45">
        <v>-0.215</v>
      </c>
      <c r="H136" s="54" t="s">
        <v>35</v>
      </c>
      <c r="I136" s="51" t="s">
        <v>48</v>
      </c>
      <c r="J136" s="49"/>
    </row>
  </sheetData>
  <mergeCells count="5">
    <mergeCell ref="B2:F2"/>
    <mergeCell ref="B106:J106"/>
    <mergeCell ref="B115:D115"/>
    <mergeCell ref="B120:F120"/>
    <mergeCell ref="B125:I1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33" t="s">
        <v>60</v>
      </c>
      <c r="C2" s="34"/>
      <c r="D2" s="34"/>
      <c r="E2" s="34"/>
      <c r="F2" s="34"/>
    </row>
    <row r="3">
      <c r="B3" s="35" t="s">
        <v>8</v>
      </c>
      <c r="C3" s="35" t="s">
        <v>7</v>
      </c>
      <c r="D3" s="35" t="s">
        <v>12</v>
      </c>
      <c r="E3" s="35" t="s">
        <v>9</v>
      </c>
      <c r="F3" s="35" t="s">
        <v>11</v>
      </c>
    </row>
    <row r="4">
      <c r="B4" s="36">
        <v>0.88</v>
      </c>
      <c r="C4" s="36">
        <v>0.73</v>
      </c>
      <c r="D4" s="36">
        <v>0.87</v>
      </c>
      <c r="E4" s="36">
        <v>0.9</v>
      </c>
      <c r="F4" s="36">
        <v>0.94</v>
      </c>
    </row>
    <row r="5">
      <c r="B5" s="36">
        <v>0.9</v>
      </c>
      <c r="C5" s="36">
        <v>0.89</v>
      </c>
      <c r="D5" s="36">
        <v>0.91</v>
      </c>
      <c r="E5" s="36">
        <v>0.64</v>
      </c>
      <c r="F5" s="36">
        <v>0.9</v>
      </c>
    </row>
    <row r="6">
      <c r="B6" s="36">
        <v>0.87</v>
      </c>
      <c r="C6" s="36">
        <v>0.93</v>
      </c>
      <c r="D6" s="36">
        <v>0.73</v>
      </c>
      <c r="E6" s="36">
        <v>0.23</v>
      </c>
      <c r="F6" s="36">
        <v>0.88</v>
      </c>
    </row>
    <row r="7">
      <c r="B7" s="36">
        <v>0.87</v>
      </c>
      <c r="C7" s="36">
        <v>0.88</v>
      </c>
      <c r="D7" s="36">
        <v>0.82</v>
      </c>
      <c r="E7" s="36">
        <v>0.45</v>
      </c>
      <c r="F7" s="36">
        <v>0.99</v>
      </c>
    </row>
    <row r="8">
      <c r="B8" s="36">
        <v>0.97</v>
      </c>
      <c r="C8" s="36">
        <v>1.1</v>
      </c>
      <c r="D8" s="36">
        <v>0.57</v>
      </c>
      <c r="E8" s="36">
        <v>0.47</v>
      </c>
      <c r="F8" s="36">
        <v>0.94</v>
      </c>
    </row>
    <row r="9">
      <c r="B9" s="36">
        <v>0.64</v>
      </c>
      <c r="C9" s="36">
        <v>0.88</v>
      </c>
      <c r="D9" s="36">
        <v>0.87</v>
      </c>
      <c r="E9" s="36">
        <v>0.54</v>
      </c>
      <c r="F9" s="36">
        <v>0.9</v>
      </c>
    </row>
    <row r="10">
      <c r="B10" s="36">
        <v>0.88</v>
      </c>
      <c r="C10" s="36">
        <v>0.66</v>
      </c>
      <c r="D10" s="36">
        <v>0.81</v>
      </c>
      <c r="E10" s="36">
        <v>0.6</v>
      </c>
      <c r="F10" s="36">
        <v>0.97</v>
      </c>
    </row>
    <row r="11">
      <c r="B11" s="36">
        <v>0.92</v>
      </c>
      <c r="C11" s="36">
        <v>0.81</v>
      </c>
      <c r="D11" s="36">
        <v>0.83</v>
      </c>
      <c r="E11" s="36">
        <v>0.67</v>
      </c>
      <c r="F11" s="36">
        <v>0.99</v>
      </c>
    </row>
    <row r="12">
      <c r="B12" s="36">
        <v>0.89</v>
      </c>
      <c r="C12" s="36">
        <v>0.9</v>
      </c>
      <c r="D12" s="36">
        <v>0.87</v>
      </c>
      <c r="E12" s="36">
        <v>0.6</v>
      </c>
      <c r="F12" s="36">
        <v>0.94</v>
      </c>
    </row>
    <row r="13">
      <c r="B13" s="36">
        <v>0.89</v>
      </c>
      <c r="C13" s="36">
        <v>0.86</v>
      </c>
      <c r="D13" s="36">
        <v>0.71</v>
      </c>
      <c r="E13" s="36">
        <v>0.41</v>
      </c>
      <c r="F13" s="36">
        <v>0.96</v>
      </c>
    </row>
    <row r="14">
      <c r="B14" s="36">
        <v>0.88</v>
      </c>
      <c r="C14" s="36">
        <v>1.06</v>
      </c>
      <c r="D14" s="36">
        <v>0.83</v>
      </c>
      <c r="E14" s="36">
        <v>0.42</v>
      </c>
      <c r="F14" s="36">
        <v>0.95</v>
      </c>
    </row>
    <row r="15">
      <c r="B15" s="36">
        <v>0.89</v>
      </c>
      <c r="C15" s="36">
        <v>1.0</v>
      </c>
      <c r="D15" s="36">
        <v>0.77</v>
      </c>
      <c r="E15" s="36">
        <v>0.41</v>
      </c>
      <c r="F15" s="36">
        <v>0.95</v>
      </c>
    </row>
    <row r="16">
      <c r="B16" s="36">
        <v>0.93</v>
      </c>
      <c r="C16" s="36">
        <v>0.88</v>
      </c>
      <c r="D16" s="36">
        <v>0.98</v>
      </c>
      <c r="E16" s="36">
        <v>0.43</v>
      </c>
      <c r="F16" s="36">
        <v>0.93</v>
      </c>
    </row>
    <row r="17">
      <c r="B17" s="36">
        <v>0.89</v>
      </c>
      <c r="C17" s="36">
        <v>0.73</v>
      </c>
      <c r="D17" s="36">
        <v>0.79</v>
      </c>
      <c r="E17" s="36">
        <v>0.73</v>
      </c>
      <c r="F17" s="36">
        <v>1.0</v>
      </c>
    </row>
    <row r="18">
      <c r="B18" s="36">
        <v>0.9</v>
      </c>
      <c r="C18" s="36">
        <v>0.82</v>
      </c>
      <c r="D18" s="36">
        <v>0.79</v>
      </c>
      <c r="E18" s="36">
        <v>0.75</v>
      </c>
      <c r="F18" s="36">
        <v>0.95</v>
      </c>
    </row>
    <row r="19">
      <c r="B19" s="36">
        <v>0.89</v>
      </c>
      <c r="C19" s="36">
        <v>0.89</v>
      </c>
      <c r="D19" s="36">
        <v>0.76</v>
      </c>
      <c r="E19" s="36">
        <v>0.41</v>
      </c>
      <c r="F19" s="36">
        <v>0.92</v>
      </c>
    </row>
    <row r="20">
      <c r="B20" s="36">
        <v>0.91</v>
      </c>
      <c r="C20" s="36">
        <v>0.86</v>
      </c>
      <c r="D20" s="36">
        <v>0.33</v>
      </c>
      <c r="E20" s="36">
        <v>0.76</v>
      </c>
      <c r="F20" s="36">
        <v>0.95</v>
      </c>
    </row>
    <row r="21">
      <c r="B21" s="36">
        <v>0.94</v>
      </c>
      <c r="C21" s="36">
        <v>1.02</v>
      </c>
      <c r="D21" s="36">
        <v>0.75</v>
      </c>
      <c r="E21" s="36">
        <v>0.59</v>
      </c>
      <c r="F21" s="36">
        <v>1.01</v>
      </c>
    </row>
    <row r="22">
      <c r="B22" s="36">
        <v>0.87</v>
      </c>
      <c r="C22" s="36">
        <v>0.97</v>
      </c>
      <c r="D22" s="36">
        <v>0.98</v>
      </c>
      <c r="E22" s="36">
        <v>0.49</v>
      </c>
      <c r="F22" s="36">
        <v>0.93</v>
      </c>
    </row>
    <row r="23">
      <c r="B23" s="36">
        <v>0.92</v>
      </c>
      <c r="C23" s="36">
        <v>0.9</v>
      </c>
      <c r="D23" s="36">
        <v>0.89</v>
      </c>
      <c r="E23" s="36">
        <v>0.5</v>
      </c>
      <c r="F23" s="36">
        <v>0.95</v>
      </c>
    </row>
    <row r="24">
      <c r="B24" s="36">
        <v>0.93</v>
      </c>
      <c r="C24" s="36">
        <v>0.89</v>
      </c>
      <c r="D24" s="36">
        <v>0.85</v>
      </c>
      <c r="E24" s="36">
        <v>0.63</v>
      </c>
      <c r="F24" s="36">
        <v>0.99</v>
      </c>
    </row>
    <row r="25">
      <c r="B25" s="36">
        <v>0.92</v>
      </c>
      <c r="C25" s="36">
        <v>0.93</v>
      </c>
      <c r="D25" s="36">
        <v>0.65</v>
      </c>
      <c r="E25" s="36">
        <v>0.33</v>
      </c>
      <c r="F25" s="36">
        <v>0.94</v>
      </c>
    </row>
    <row r="26">
      <c r="B26" s="36">
        <v>0.9</v>
      </c>
      <c r="C26" s="36">
        <v>0.94</v>
      </c>
      <c r="D26" s="36">
        <v>0.8</v>
      </c>
      <c r="E26" s="36">
        <v>0.41</v>
      </c>
      <c r="F26" s="36">
        <v>0.92</v>
      </c>
    </row>
    <row r="27">
      <c r="B27" s="36">
        <v>0.83</v>
      </c>
      <c r="C27" s="36">
        <v>0.78</v>
      </c>
      <c r="D27" s="36">
        <v>0.87</v>
      </c>
      <c r="E27" s="36">
        <v>0.73</v>
      </c>
      <c r="F27" s="36">
        <v>0.92</v>
      </c>
    </row>
    <row r="28">
      <c r="B28" s="36">
        <v>0.93</v>
      </c>
      <c r="C28" s="36">
        <v>0.88</v>
      </c>
      <c r="D28" s="36">
        <v>0.8</v>
      </c>
      <c r="E28" s="36">
        <v>0.24</v>
      </c>
      <c r="F28" s="36">
        <v>0.94</v>
      </c>
    </row>
    <row r="29">
      <c r="B29" s="36">
        <v>0.88</v>
      </c>
      <c r="C29" s="36">
        <v>1.02</v>
      </c>
      <c r="D29" s="36">
        <v>0.86</v>
      </c>
      <c r="E29" s="36">
        <v>0.39</v>
      </c>
      <c r="F29" s="36">
        <v>0.92</v>
      </c>
    </row>
    <row r="30">
      <c r="B30" s="36">
        <v>0.84</v>
      </c>
      <c r="C30" s="36">
        <v>1.03</v>
      </c>
      <c r="D30" s="36">
        <v>0.81</v>
      </c>
      <c r="E30" s="36">
        <v>0.89</v>
      </c>
      <c r="F30" s="36">
        <v>0.94</v>
      </c>
    </row>
    <row r="31">
      <c r="B31" s="36">
        <v>0.88</v>
      </c>
      <c r="C31" s="36">
        <v>0.87</v>
      </c>
      <c r="D31" s="36">
        <v>0.88</v>
      </c>
      <c r="E31" s="36">
        <v>0.22</v>
      </c>
      <c r="F31" s="36">
        <v>0.95</v>
      </c>
    </row>
    <row r="32">
      <c r="B32" s="36">
        <v>0.83</v>
      </c>
      <c r="C32" s="36">
        <v>0.97</v>
      </c>
      <c r="D32" s="36">
        <v>0.84</v>
      </c>
      <c r="E32" s="36">
        <v>0.22</v>
      </c>
      <c r="F32" s="36">
        <v>0.94</v>
      </c>
    </row>
    <row r="33">
      <c r="B33" s="36">
        <v>0.91</v>
      </c>
      <c r="C33" s="36">
        <v>0.78</v>
      </c>
      <c r="D33" s="36">
        <v>0.84</v>
      </c>
      <c r="E33" s="36">
        <v>0.61</v>
      </c>
      <c r="F33" s="36">
        <v>0.97</v>
      </c>
    </row>
    <row r="34">
      <c r="B34" s="36">
        <v>0.91</v>
      </c>
      <c r="C34" s="36">
        <v>0.99</v>
      </c>
      <c r="D34" s="36">
        <v>0.83</v>
      </c>
      <c r="E34" s="36">
        <v>0.71</v>
      </c>
      <c r="F34" s="36">
        <v>0.93</v>
      </c>
    </row>
    <row r="35">
      <c r="B35" s="36">
        <v>0.91</v>
      </c>
      <c r="C35" s="36">
        <v>0.99</v>
      </c>
      <c r="D35" s="36">
        <v>0.78</v>
      </c>
      <c r="E35" s="36">
        <v>0.32</v>
      </c>
      <c r="F35" s="36">
        <v>0.94</v>
      </c>
    </row>
    <row r="36">
      <c r="B36" s="36">
        <v>0.91</v>
      </c>
      <c r="C36" s="36">
        <v>0.96</v>
      </c>
      <c r="D36" s="36">
        <v>0.8</v>
      </c>
      <c r="E36" s="36">
        <v>0.45</v>
      </c>
      <c r="F36" s="36">
        <v>0.95</v>
      </c>
    </row>
    <row r="37">
      <c r="B37" s="36">
        <v>0.88</v>
      </c>
      <c r="C37" s="36">
        <v>0.79</v>
      </c>
      <c r="D37" s="36">
        <v>0.82</v>
      </c>
      <c r="E37" s="36">
        <v>0.44</v>
      </c>
      <c r="F37" s="36">
        <v>0.93</v>
      </c>
    </row>
    <row r="38">
      <c r="B38" s="36">
        <v>0.82</v>
      </c>
      <c r="C38" s="36">
        <v>0.92</v>
      </c>
      <c r="D38" s="36">
        <v>0.94</v>
      </c>
      <c r="E38" s="36">
        <v>0.05</v>
      </c>
      <c r="F38" s="36">
        <v>0.99</v>
      </c>
    </row>
    <row r="39">
      <c r="B39" s="36">
        <v>0.9</v>
      </c>
      <c r="C39" s="36">
        <v>1.02</v>
      </c>
      <c r="D39" s="36">
        <v>0.86</v>
      </c>
      <c r="E39" s="36">
        <v>0.46</v>
      </c>
      <c r="F39" s="36">
        <v>0.92</v>
      </c>
    </row>
    <row r="40">
      <c r="B40" s="36">
        <v>0.9</v>
      </c>
      <c r="C40" s="36">
        <v>0.93</v>
      </c>
      <c r="D40" s="36">
        <v>0.35</v>
      </c>
      <c r="E40" s="36">
        <v>0.46</v>
      </c>
      <c r="F40" s="36">
        <v>0.94</v>
      </c>
    </row>
    <row r="41">
      <c r="B41" s="36">
        <v>0.86</v>
      </c>
      <c r="C41" s="36">
        <v>1.02</v>
      </c>
      <c r="D41" s="36">
        <v>0.91</v>
      </c>
      <c r="E41" s="36">
        <v>0.25</v>
      </c>
      <c r="F41" s="36">
        <v>0.94</v>
      </c>
    </row>
    <row r="42">
      <c r="B42" s="36">
        <v>0.9</v>
      </c>
      <c r="C42" s="36">
        <v>0.86</v>
      </c>
      <c r="D42" s="36">
        <v>0.68</v>
      </c>
      <c r="E42" s="36">
        <v>0.35</v>
      </c>
      <c r="F42" s="36">
        <v>0.98</v>
      </c>
    </row>
    <row r="43">
      <c r="B43" s="36">
        <v>0.83</v>
      </c>
      <c r="C43" s="36">
        <v>0.96</v>
      </c>
      <c r="D43" s="36">
        <v>0.78</v>
      </c>
      <c r="E43" s="36">
        <v>0.33</v>
      </c>
      <c r="F43" s="36">
        <v>0.91</v>
      </c>
    </row>
    <row r="44">
      <c r="B44" s="36">
        <v>0.93</v>
      </c>
      <c r="C44" s="36">
        <v>1.04</v>
      </c>
      <c r="D44" s="36">
        <v>0.85</v>
      </c>
      <c r="E44" s="36">
        <v>0.52</v>
      </c>
      <c r="F44" s="36">
        <v>0.99</v>
      </c>
    </row>
    <row r="45">
      <c r="B45" s="36">
        <v>0.84</v>
      </c>
      <c r="C45" s="36">
        <v>0.85</v>
      </c>
      <c r="D45" s="36">
        <v>0.89</v>
      </c>
      <c r="E45" s="36">
        <v>0.81</v>
      </c>
      <c r="F45" s="36">
        <v>0.92</v>
      </c>
    </row>
    <row r="46">
      <c r="B46" s="36">
        <v>0.9</v>
      </c>
      <c r="C46" s="36">
        <v>0.99</v>
      </c>
      <c r="D46" s="36">
        <v>0.68</v>
      </c>
      <c r="E46" s="36">
        <v>0.2</v>
      </c>
      <c r="F46" s="36">
        <v>0.93</v>
      </c>
    </row>
    <row r="47">
      <c r="B47" s="36">
        <v>0.9</v>
      </c>
      <c r="C47" s="36">
        <v>0.9</v>
      </c>
      <c r="D47" s="36">
        <v>0.73</v>
      </c>
      <c r="E47" s="36">
        <v>0.68</v>
      </c>
      <c r="F47" s="36">
        <v>0.96</v>
      </c>
    </row>
    <row r="48">
      <c r="B48" s="36">
        <v>0.87</v>
      </c>
      <c r="C48" s="36">
        <v>0.93</v>
      </c>
      <c r="D48" s="36">
        <v>0.89</v>
      </c>
      <c r="E48" s="36">
        <v>0.45</v>
      </c>
      <c r="F48" s="36">
        <v>0.91</v>
      </c>
    </row>
    <row r="49">
      <c r="B49" s="36">
        <v>0.88</v>
      </c>
      <c r="C49" s="36">
        <v>0.86</v>
      </c>
      <c r="D49" s="36">
        <v>0.84</v>
      </c>
      <c r="E49" s="36">
        <v>0.41</v>
      </c>
      <c r="F49" s="36">
        <v>0.96</v>
      </c>
    </row>
    <row r="50">
      <c r="B50" s="36">
        <v>0.95</v>
      </c>
      <c r="C50" s="36">
        <v>0.9</v>
      </c>
      <c r="D50" s="36">
        <v>0.81</v>
      </c>
      <c r="E50" s="36">
        <v>0.48</v>
      </c>
      <c r="F50" s="36">
        <v>0.95</v>
      </c>
    </row>
    <row r="51">
      <c r="B51" s="36">
        <v>1.0</v>
      </c>
      <c r="C51" s="36">
        <v>1.0</v>
      </c>
      <c r="D51" s="36">
        <v>0.79</v>
      </c>
      <c r="E51" s="36">
        <v>0.65</v>
      </c>
      <c r="F51" s="36">
        <v>0.92</v>
      </c>
    </row>
    <row r="52">
      <c r="B52" s="36">
        <v>0.86</v>
      </c>
      <c r="C52" s="36">
        <v>0.84</v>
      </c>
      <c r="D52" s="36">
        <v>0.88</v>
      </c>
      <c r="E52" s="36">
        <v>0.34</v>
      </c>
      <c r="F52" s="36">
        <v>0.94</v>
      </c>
    </row>
    <row r="53">
      <c r="B53" s="36">
        <v>0.77</v>
      </c>
      <c r="C53" s="36">
        <v>0.93</v>
      </c>
      <c r="D53" s="36">
        <v>0.8</v>
      </c>
      <c r="E53" s="36">
        <v>0.25</v>
      </c>
      <c r="F53" s="36">
        <v>0.95</v>
      </c>
    </row>
    <row r="54">
      <c r="B54" s="36">
        <v>0.93</v>
      </c>
      <c r="C54" s="36">
        <v>0.29</v>
      </c>
      <c r="D54" s="36">
        <v>0.73</v>
      </c>
      <c r="E54" s="36">
        <v>0.57</v>
      </c>
      <c r="F54" s="36">
        <v>0.96</v>
      </c>
    </row>
    <row r="55">
      <c r="B55" s="36">
        <v>0.9</v>
      </c>
      <c r="C55" s="36">
        <v>0.95</v>
      </c>
      <c r="D55" s="36">
        <v>0.89</v>
      </c>
      <c r="E55" s="36">
        <v>0.68</v>
      </c>
      <c r="F55" s="36">
        <v>0.98</v>
      </c>
    </row>
    <row r="56">
      <c r="B56" s="36">
        <v>0.91</v>
      </c>
      <c r="C56" s="36">
        <v>0.82</v>
      </c>
      <c r="D56" s="36">
        <v>0.89</v>
      </c>
      <c r="E56" s="36">
        <v>0.32</v>
      </c>
      <c r="F56" s="36">
        <v>0.97</v>
      </c>
    </row>
    <row r="57">
      <c r="B57" s="36">
        <v>0.87</v>
      </c>
      <c r="C57" s="36">
        <v>0.88</v>
      </c>
      <c r="D57" s="36">
        <v>0.68</v>
      </c>
      <c r="E57" s="36">
        <v>0.51</v>
      </c>
      <c r="F57" s="36">
        <v>0.98</v>
      </c>
    </row>
    <row r="58">
      <c r="B58" s="36">
        <v>0.93</v>
      </c>
      <c r="C58" s="36">
        <v>1.02</v>
      </c>
      <c r="D58" s="36">
        <v>0.85</v>
      </c>
      <c r="E58" s="36">
        <v>0.5</v>
      </c>
      <c r="F58" s="36">
        <v>0.97</v>
      </c>
    </row>
    <row r="59">
      <c r="B59" s="36">
        <v>0.84</v>
      </c>
      <c r="C59" s="36">
        <v>0.92</v>
      </c>
      <c r="D59" s="36">
        <v>1.01</v>
      </c>
      <c r="E59" s="36">
        <v>0.5</v>
      </c>
      <c r="F59" s="36">
        <v>0.97</v>
      </c>
    </row>
    <row r="60">
      <c r="B60" s="36">
        <v>0.9</v>
      </c>
      <c r="C60" s="36">
        <v>0.63</v>
      </c>
      <c r="D60" s="36">
        <v>0.91</v>
      </c>
      <c r="E60" s="36">
        <v>0.07</v>
      </c>
      <c r="F60" s="36">
        <v>0.9</v>
      </c>
    </row>
    <row r="61">
      <c r="B61" s="36">
        <v>0.9</v>
      </c>
      <c r="C61" s="36">
        <v>1.04</v>
      </c>
      <c r="D61" s="36">
        <v>0.89</v>
      </c>
      <c r="E61" s="36">
        <v>0.56</v>
      </c>
      <c r="F61" s="36">
        <v>0.96</v>
      </c>
    </row>
    <row r="62">
      <c r="B62" s="36">
        <v>0.91</v>
      </c>
      <c r="C62" s="36">
        <v>1.05</v>
      </c>
      <c r="D62" s="36">
        <v>0.93</v>
      </c>
      <c r="E62" s="36">
        <v>0.19</v>
      </c>
      <c r="F62" s="36">
        <v>0.96</v>
      </c>
    </row>
    <row r="63">
      <c r="B63" s="36">
        <v>0.87</v>
      </c>
      <c r="C63" s="36">
        <v>0.99</v>
      </c>
      <c r="D63" s="36">
        <v>0.81</v>
      </c>
      <c r="E63" s="36">
        <v>0.44</v>
      </c>
      <c r="F63" s="36">
        <v>0.99</v>
      </c>
    </row>
    <row r="64">
      <c r="B64" s="36">
        <v>0.77</v>
      </c>
      <c r="C64" s="36">
        <v>0.76</v>
      </c>
      <c r="D64" s="36">
        <v>0.71</v>
      </c>
      <c r="E64" s="36">
        <v>0.53</v>
      </c>
      <c r="F64" s="36">
        <v>1.0</v>
      </c>
    </row>
    <row r="65">
      <c r="B65" s="36">
        <v>0.82</v>
      </c>
      <c r="C65" s="36">
        <v>1.01</v>
      </c>
      <c r="D65" s="36">
        <v>0.58</v>
      </c>
      <c r="E65" s="36">
        <v>0.49</v>
      </c>
      <c r="F65" s="36">
        <v>0.94</v>
      </c>
    </row>
    <row r="66">
      <c r="B66" s="36">
        <v>0.84</v>
      </c>
      <c r="C66" s="36">
        <v>0.17</v>
      </c>
      <c r="D66" s="36">
        <v>0.75</v>
      </c>
      <c r="E66" s="36">
        <v>0.33</v>
      </c>
      <c r="F66" s="36">
        <v>0.98</v>
      </c>
    </row>
    <row r="67">
      <c r="B67" s="36">
        <v>0.84</v>
      </c>
      <c r="C67" s="36">
        <v>0.78</v>
      </c>
      <c r="D67" s="36">
        <v>0.73</v>
      </c>
      <c r="E67" s="36">
        <v>0.52</v>
      </c>
      <c r="F67" s="36">
        <v>0.97</v>
      </c>
    </row>
    <row r="68">
      <c r="B68" s="36">
        <v>0.93</v>
      </c>
      <c r="C68" s="36">
        <v>0.47</v>
      </c>
      <c r="D68" s="36">
        <v>0.87</v>
      </c>
      <c r="E68" s="36">
        <v>0.56</v>
      </c>
      <c r="F68" s="36">
        <v>0.94</v>
      </c>
    </row>
    <row r="69">
      <c r="B69" s="36">
        <v>0.9</v>
      </c>
      <c r="C69" s="36">
        <v>0.88</v>
      </c>
      <c r="D69" s="36">
        <v>0.58</v>
      </c>
      <c r="E69" s="36">
        <v>0.48</v>
      </c>
      <c r="F69" s="36">
        <v>0.85</v>
      </c>
    </row>
    <row r="70">
      <c r="B70" s="36">
        <v>0.9</v>
      </c>
      <c r="C70" s="36">
        <v>1.04</v>
      </c>
      <c r="D70" s="36">
        <v>0.71</v>
      </c>
      <c r="E70" s="36">
        <v>0.57</v>
      </c>
      <c r="F70" s="36">
        <v>0.96</v>
      </c>
    </row>
    <row r="71">
      <c r="B71" s="36">
        <v>0.85</v>
      </c>
      <c r="C71" s="36">
        <v>0.86</v>
      </c>
      <c r="D71" s="36">
        <v>0.82</v>
      </c>
      <c r="E71" s="36">
        <v>0.35</v>
      </c>
      <c r="F71" s="36">
        <v>0.99</v>
      </c>
    </row>
    <row r="72">
      <c r="B72" s="36">
        <v>0.9</v>
      </c>
      <c r="C72" s="36">
        <v>0.95</v>
      </c>
      <c r="D72" s="36">
        <v>0.14</v>
      </c>
      <c r="E72" s="36">
        <v>0.24</v>
      </c>
      <c r="F72" s="36">
        <v>0.98</v>
      </c>
    </row>
    <row r="73">
      <c r="B73" s="36">
        <v>0.92</v>
      </c>
      <c r="C73" s="36">
        <v>0.81</v>
      </c>
      <c r="D73" s="36">
        <v>0.83</v>
      </c>
      <c r="E73" s="36">
        <v>0.47</v>
      </c>
      <c r="F73" s="36">
        <v>0.96</v>
      </c>
    </row>
    <row r="74">
      <c r="B74" s="36">
        <v>0.9</v>
      </c>
      <c r="C74" s="36">
        <v>0.98</v>
      </c>
      <c r="D74" s="36">
        <v>0.82</v>
      </c>
      <c r="E74" s="36">
        <v>0.55</v>
      </c>
      <c r="F74" s="36">
        <v>0.93</v>
      </c>
    </row>
    <row r="75">
      <c r="B75" s="36">
        <v>0.9</v>
      </c>
      <c r="C75" s="36">
        <v>0.75</v>
      </c>
      <c r="D75" s="36">
        <v>0.71</v>
      </c>
      <c r="E75" s="36">
        <v>0.49</v>
      </c>
      <c r="F75" s="36">
        <v>0.92</v>
      </c>
    </row>
    <row r="76">
      <c r="B76" s="36">
        <v>0.89</v>
      </c>
      <c r="C76" s="36">
        <v>0.87</v>
      </c>
      <c r="D76" s="36">
        <v>0.77</v>
      </c>
      <c r="E76" s="36">
        <v>0.22</v>
      </c>
      <c r="F76" s="36">
        <v>0.93</v>
      </c>
    </row>
    <row r="77">
      <c r="B77" s="36">
        <v>0.94</v>
      </c>
      <c r="C77" s="36">
        <v>0.96</v>
      </c>
      <c r="D77" s="36">
        <v>0.77</v>
      </c>
      <c r="E77" s="36">
        <v>0.3</v>
      </c>
      <c r="F77" s="36">
        <v>0.96</v>
      </c>
    </row>
    <row r="78">
      <c r="B78" s="36">
        <v>0.91</v>
      </c>
      <c r="C78" s="36">
        <v>1.02</v>
      </c>
      <c r="D78" s="36">
        <v>0.85</v>
      </c>
      <c r="E78" s="36">
        <v>0.71</v>
      </c>
      <c r="F78" s="36">
        <v>0.96</v>
      </c>
    </row>
    <row r="79">
      <c r="B79" s="36">
        <v>0.78</v>
      </c>
      <c r="C79" s="36">
        <v>0.88</v>
      </c>
      <c r="D79" s="36">
        <v>0.84</v>
      </c>
      <c r="E79" s="36">
        <v>0.62</v>
      </c>
      <c r="F79" s="36">
        <v>0.82</v>
      </c>
    </row>
    <row r="80">
      <c r="B80" s="36">
        <v>0.88</v>
      </c>
      <c r="C80" s="36">
        <v>0.97</v>
      </c>
      <c r="D80" s="36">
        <v>0.66</v>
      </c>
      <c r="E80" s="36">
        <v>0.48</v>
      </c>
      <c r="F80" s="36">
        <v>0.88</v>
      </c>
    </row>
    <row r="81">
      <c r="B81" s="36">
        <v>0.82</v>
      </c>
      <c r="C81" s="36">
        <v>0.95</v>
      </c>
      <c r="D81" s="36">
        <v>0.98</v>
      </c>
      <c r="E81" s="36">
        <v>0.52</v>
      </c>
      <c r="F81" s="36">
        <v>0.86</v>
      </c>
    </row>
    <row r="82">
      <c r="B82" s="36">
        <v>0.9</v>
      </c>
      <c r="C82" s="36">
        <v>0.74</v>
      </c>
      <c r="D82" s="36">
        <v>0.89</v>
      </c>
      <c r="E82" s="36">
        <v>0.03</v>
      </c>
      <c r="F82" s="36">
        <v>0.94</v>
      </c>
    </row>
    <row r="83">
      <c r="B83" s="36">
        <v>0.87</v>
      </c>
      <c r="C83" s="36">
        <v>0.77</v>
      </c>
      <c r="D83" s="36">
        <v>0.99</v>
      </c>
      <c r="E83" s="36">
        <v>0.63</v>
      </c>
      <c r="F83" s="36">
        <v>0.95</v>
      </c>
    </row>
    <row r="84">
      <c r="B84" s="36">
        <v>0.88</v>
      </c>
      <c r="C84" s="36">
        <v>1.0</v>
      </c>
      <c r="D84" s="36">
        <v>0.89</v>
      </c>
      <c r="E84" s="36">
        <v>0.4</v>
      </c>
      <c r="F84" s="36">
        <v>0.95</v>
      </c>
    </row>
    <row r="85">
      <c r="B85" s="36">
        <v>0.92</v>
      </c>
      <c r="C85" s="36">
        <v>0.78</v>
      </c>
      <c r="D85" s="36">
        <v>0.91</v>
      </c>
      <c r="E85" s="36">
        <v>0.4</v>
      </c>
      <c r="F85" s="36">
        <v>0.94</v>
      </c>
    </row>
    <row r="86">
      <c r="B86" s="36">
        <v>0.9</v>
      </c>
      <c r="C86" s="36">
        <v>0.83</v>
      </c>
      <c r="D86" s="36">
        <v>0.81</v>
      </c>
      <c r="E86" s="36">
        <v>0.27</v>
      </c>
      <c r="F86" s="36">
        <v>0.96</v>
      </c>
    </row>
    <row r="87">
      <c r="B87" s="36">
        <v>0.9</v>
      </c>
      <c r="C87" s="36">
        <v>0.9</v>
      </c>
      <c r="D87" s="36">
        <v>0.64</v>
      </c>
      <c r="E87" s="36">
        <v>0.3</v>
      </c>
      <c r="F87" s="36">
        <v>0.99</v>
      </c>
    </row>
    <row r="88">
      <c r="B88" s="36">
        <v>0.96</v>
      </c>
      <c r="C88" s="36">
        <v>0.95</v>
      </c>
      <c r="D88" s="36">
        <v>0.79</v>
      </c>
      <c r="E88" s="36">
        <v>0.4</v>
      </c>
      <c r="F88" s="36">
        <v>0.98</v>
      </c>
    </row>
    <row r="89">
      <c r="B89" s="36">
        <v>0.86</v>
      </c>
      <c r="C89" s="36">
        <v>0.84</v>
      </c>
      <c r="D89" s="36">
        <v>0.9</v>
      </c>
      <c r="E89" s="36">
        <v>0.36</v>
      </c>
      <c r="F89" s="36">
        <v>0.94</v>
      </c>
    </row>
    <row r="90">
      <c r="B90" s="36">
        <v>0.85</v>
      </c>
      <c r="C90" s="36">
        <v>0.78</v>
      </c>
      <c r="D90" s="36">
        <v>0.82</v>
      </c>
      <c r="E90" s="36">
        <v>0.64</v>
      </c>
      <c r="F90" s="36">
        <v>0.95</v>
      </c>
    </row>
    <row r="91">
      <c r="B91" s="36">
        <v>0.94</v>
      </c>
      <c r="C91" s="36">
        <v>0.98</v>
      </c>
      <c r="D91" s="36">
        <v>0.59</v>
      </c>
      <c r="E91" s="36">
        <v>0.46</v>
      </c>
      <c r="F91" s="36">
        <v>0.95</v>
      </c>
    </row>
    <row r="92">
      <c r="B92" s="36">
        <v>0.87</v>
      </c>
      <c r="C92" s="36">
        <v>0.29</v>
      </c>
      <c r="D92" s="36">
        <v>0.84</v>
      </c>
      <c r="E92" s="36">
        <v>0.48</v>
      </c>
      <c r="F92" s="36">
        <v>0.9</v>
      </c>
    </row>
    <row r="93">
      <c r="B93" s="36">
        <v>0.85</v>
      </c>
      <c r="C93" s="36">
        <v>0.86</v>
      </c>
      <c r="D93" s="36">
        <v>0.87</v>
      </c>
      <c r="E93" s="36">
        <v>0.76</v>
      </c>
      <c r="F93" s="36">
        <v>0.89</v>
      </c>
    </row>
    <row r="94">
      <c r="B94" s="36">
        <v>0.9</v>
      </c>
      <c r="C94" s="36">
        <v>0.91</v>
      </c>
      <c r="D94" s="36">
        <v>0.86</v>
      </c>
      <c r="E94" s="36">
        <v>0.57</v>
      </c>
      <c r="F94" s="36">
        <v>0.96</v>
      </c>
    </row>
    <row r="95">
      <c r="B95" s="36">
        <v>0.9</v>
      </c>
      <c r="C95" s="36">
        <v>0.93</v>
      </c>
      <c r="D95" s="36">
        <v>0.93</v>
      </c>
      <c r="E95" s="36">
        <v>0.5</v>
      </c>
      <c r="F95" s="36">
        <v>1.01</v>
      </c>
    </row>
    <row r="96">
      <c r="B96" s="36">
        <v>0.9</v>
      </c>
      <c r="C96" s="36">
        <v>0.94</v>
      </c>
      <c r="D96" s="36">
        <v>0.64</v>
      </c>
      <c r="E96" s="36">
        <v>0.6</v>
      </c>
      <c r="F96" s="36">
        <v>0.98</v>
      </c>
    </row>
    <row r="97">
      <c r="B97" s="36">
        <v>0.93</v>
      </c>
      <c r="C97" s="36">
        <v>0.97</v>
      </c>
      <c r="D97" s="36">
        <v>0.62</v>
      </c>
      <c r="E97" s="36">
        <v>0.51</v>
      </c>
      <c r="F97" s="36">
        <v>0.89</v>
      </c>
    </row>
    <row r="98">
      <c r="B98" s="36">
        <v>0.89</v>
      </c>
      <c r="C98" s="36">
        <v>1.04</v>
      </c>
      <c r="D98" s="36">
        <v>0.87</v>
      </c>
      <c r="E98" s="36">
        <v>0.58</v>
      </c>
      <c r="F98" s="36">
        <v>0.93</v>
      </c>
    </row>
    <row r="99">
      <c r="B99" s="36">
        <v>0.87</v>
      </c>
      <c r="C99" s="36">
        <v>0.87</v>
      </c>
      <c r="D99" s="36">
        <v>0.77</v>
      </c>
      <c r="E99" s="36">
        <v>0.42</v>
      </c>
      <c r="F99" s="36">
        <v>0.93</v>
      </c>
    </row>
    <row r="100">
      <c r="B100" s="36">
        <v>0.89</v>
      </c>
      <c r="C100" s="36">
        <v>0.97</v>
      </c>
      <c r="D100" s="36">
        <v>0.9</v>
      </c>
      <c r="E100" s="36">
        <v>0.77</v>
      </c>
      <c r="F100" s="36">
        <v>0.99</v>
      </c>
    </row>
    <row r="101">
      <c r="B101" s="36">
        <v>0.88</v>
      </c>
      <c r="C101" s="36">
        <v>0.92</v>
      </c>
      <c r="D101" s="36">
        <v>0.74</v>
      </c>
      <c r="E101" s="36">
        <v>0.44</v>
      </c>
      <c r="F101" s="36">
        <v>0.97</v>
      </c>
    </row>
    <row r="102">
      <c r="B102" s="36">
        <v>0.93</v>
      </c>
      <c r="C102" s="36">
        <v>-0.01</v>
      </c>
      <c r="D102" s="36">
        <v>0.87</v>
      </c>
      <c r="E102" s="36">
        <v>0.37</v>
      </c>
      <c r="F102" s="36">
        <v>0.93</v>
      </c>
    </row>
    <row r="103">
      <c r="B103" s="37">
        <v>0.89</v>
      </c>
      <c r="C103" s="37">
        <v>0.94</v>
      </c>
      <c r="D103" s="37">
        <v>0.86</v>
      </c>
      <c r="E103" s="37">
        <v>0.56</v>
      </c>
      <c r="F103" s="37">
        <v>0.93</v>
      </c>
    </row>
    <row r="106">
      <c r="B106" s="38" t="s">
        <v>21</v>
      </c>
      <c r="C106" s="34"/>
      <c r="D106" s="34"/>
      <c r="E106" s="34"/>
      <c r="F106" s="34"/>
      <c r="G106" s="34"/>
      <c r="H106" s="34"/>
      <c r="I106" s="34"/>
      <c r="J106" s="34"/>
    </row>
    <row r="107">
      <c r="B107" s="39" t="s">
        <v>22</v>
      </c>
      <c r="C107" s="39" t="s">
        <v>23</v>
      </c>
      <c r="D107" s="39" t="s">
        <v>24</v>
      </c>
      <c r="E107" s="39" t="s">
        <v>25</v>
      </c>
      <c r="F107" s="39" t="s">
        <v>26</v>
      </c>
      <c r="G107" s="39" t="s">
        <v>27</v>
      </c>
      <c r="H107" s="39" t="s">
        <v>28</v>
      </c>
      <c r="I107" s="39" t="s">
        <v>29</v>
      </c>
      <c r="J107" s="39" t="s">
        <v>30</v>
      </c>
    </row>
    <row r="108">
      <c r="B108" s="40" t="s">
        <v>8</v>
      </c>
      <c r="C108" s="41">
        <v>0.8863</v>
      </c>
      <c r="D108" s="41">
        <v>0.0462</v>
      </c>
      <c r="E108" s="41">
        <v>0.9</v>
      </c>
      <c r="F108" s="41">
        <v>0.8773</v>
      </c>
      <c r="G108" s="41">
        <v>0.8953</v>
      </c>
      <c r="H108" s="42">
        <v>0.64</v>
      </c>
      <c r="I108" s="42">
        <v>1.0</v>
      </c>
      <c r="J108" s="43">
        <v>5.2</v>
      </c>
    </row>
    <row r="109">
      <c r="B109" s="40" t="s">
        <v>7</v>
      </c>
      <c r="C109" s="41">
        <v>0.8744</v>
      </c>
      <c r="D109" s="41">
        <v>0.1757</v>
      </c>
      <c r="E109" s="41">
        <v>0.9</v>
      </c>
      <c r="F109" s="41">
        <v>0.84</v>
      </c>
      <c r="G109" s="41">
        <v>0.9088</v>
      </c>
      <c r="H109" s="42">
        <v>-0.01</v>
      </c>
      <c r="I109" s="42">
        <v>1.1</v>
      </c>
      <c r="J109" s="43">
        <v>20.1</v>
      </c>
    </row>
    <row r="110">
      <c r="B110" s="40" t="s">
        <v>12</v>
      </c>
      <c r="C110" s="41">
        <v>0.7968</v>
      </c>
      <c r="D110" s="41">
        <v>0.1327</v>
      </c>
      <c r="E110" s="41">
        <v>0.82</v>
      </c>
      <c r="F110" s="41">
        <v>0.7708</v>
      </c>
      <c r="G110" s="41">
        <v>0.8228</v>
      </c>
      <c r="H110" s="42">
        <v>0.14</v>
      </c>
      <c r="I110" s="42">
        <v>1.01</v>
      </c>
      <c r="J110" s="43">
        <v>16.6</v>
      </c>
    </row>
    <row r="111">
      <c r="B111" s="40" t="s">
        <v>9</v>
      </c>
      <c r="C111" s="41">
        <v>0.475</v>
      </c>
      <c r="D111" s="41">
        <v>0.1736</v>
      </c>
      <c r="E111" s="41">
        <v>0.48</v>
      </c>
      <c r="F111" s="41">
        <v>0.441</v>
      </c>
      <c r="G111" s="41">
        <v>0.509</v>
      </c>
      <c r="H111" s="42">
        <v>0.03</v>
      </c>
      <c r="I111" s="42">
        <v>0.9</v>
      </c>
      <c r="J111" s="43">
        <v>36.5</v>
      </c>
    </row>
    <row r="112">
      <c r="B112" s="44" t="s">
        <v>11</v>
      </c>
      <c r="C112" s="45">
        <v>0.9457</v>
      </c>
      <c r="D112" s="45">
        <v>0.0339</v>
      </c>
      <c r="E112" s="45">
        <v>0.95</v>
      </c>
      <c r="F112" s="45">
        <v>0.9391</v>
      </c>
      <c r="G112" s="45">
        <v>0.9523</v>
      </c>
      <c r="H112" s="46">
        <v>0.82</v>
      </c>
      <c r="I112" s="47">
        <v>1.01</v>
      </c>
      <c r="J112" s="48">
        <v>3.6</v>
      </c>
    </row>
    <row r="113">
      <c r="B113" s="40"/>
      <c r="C113" s="41"/>
      <c r="D113" s="41"/>
      <c r="E113" s="41"/>
      <c r="F113" s="41"/>
      <c r="G113" s="41"/>
      <c r="H113" s="42"/>
      <c r="I113" s="42"/>
      <c r="J113" s="43"/>
    </row>
    <row r="114">
      <c r="B114" s="49"/>
      <c r="C114" s="49"/>
      <c r="D114" s="49"/>
      <c r="E114" s="49"/>
      <c r="F114" s="49"/>
      <c r="G114" s="49"/>
      <c r="H114" s="49"/>
      <c r="I114" s="49"/>
      <c r="J114" s="49"/>
    </row>
    <row r="115">
      <c r="B115" s="38" t="s">
        <v>31</v>
      </c>
      <c r="C115" s="34"/>
      <c r="D115" s="34"/>
      <c r="E115" s="49"/>
      <c r="F115" s="49"/>
      <c r="G115" s="49"/>
      <c r="H115" s="49"/>
      <c r="I115" s="49"/>
      <c r="J115" s="49"/>
    </row>
    <row r="116">
      <c r="B116" s="39" t="s">
        <v>32</v>
      </c>
      <c r="C116" s="39" t="s">
        <v>33</v>
      </c>
      <c r="D116" s="39" t="s">
        <v>34</v>
      </c>
      <c r="E116" s="49"/>
      <c r="F116" s="49"/>
      <c r="G116" s="49"/>
      <c r="H116" s="49"/>
      <c r="I116" s="49"/>
      <c r="J116" s="49"/>
    </row>
    <row r="117">
      <c r="B117" s="45">
        <v>24.7999</v>
      </c>
      <c r="C117" s="50" t="s">
        <v>35</v>
      </c>
      <c r="D117" s="51" t="s">
        <v>36</v>
      </c>
      <c r="E117" s="49"/>
      <c r="F117" s="49"/>
      <c r="G117" s="49"/>
      <c r="H117" s="49"/>
      <c r="I117" s="49"/>
      <c r="J117" s="49"/>
    </row>
    <row r="118">
      <c r="B118" s="41"/>
      <c r="C118" s="42"/>
      <c r="D118" s="52"/>
      <c r="E118" s="49"/>
      <c r="F118" s="49"/>
      <c r="G118" s="49"/>
      <c r="H118" s="49"/>
      <c r="I118" s="49"/>
      <c r="J118" s="49"/>
    </row>
    <row r="119">
      <c r="B119" s="49"/>
      <c r="C119" s="49"/>
      <c r="D119" s="49"/>
      <c r="E119" s="49"/>
      <c r="F119" s="49"/>
      <c r="G119" s="49"/>
      <c r="H119" s="49"/>
      <c r="I119" s="49"/>
      <c r="J119" s="49"/>
    </row>
    <row r="120">
      <c r="B120" s="38" t="s">
        <v>37</v>
      </c>
      <c r="C120" s="34"/>
      <c r="D120" s="34"/>
      <c r="E120" s="34"/>
      <c r="F120" s="34"/>
      <c r="G120" s="49"/>
      <c r="H120" s="49"/>
      <c r="I120" s="49"/>
      <c r="J120" s="49"/>
    </row>
    <row r="121">
      <c r="B121" s="51" t="s">
        <v>38</v>
      </c>
      <c r="C121" s="39" t="s">
        <v>39</v>
      </c>
      <c r="D121" s="39" t="s">
        <v>40</v>
      </c>
      <c r="E121" s="39" t="s">
        <v>33</v>
      </c>
      <c r="F121" s="39" t="s">
        <v>34</v>
      </c>
      <c r="G121" s="49"/>
      <c r="H121" s="49"/>
      <c r="I121" s="49"/>
      <c r="J121" s="49"/>
    </row>
    <row r="122">
      <c r="B122" s="47">
        <v>208.6979</v>
      </c>
      <c r="C122" s="47">
        <v>4.0</v>
      </c>
      <c r="D122" s="47">
        <v>10.0</v>
      </c>
      <c r="E122" s="50" t="s">
        <v>35</v>
      </c>
      <c r="F122" s="51" t="s">
        <v>41</v>
      </c>
      <c r="G122" s="49"/>
      <c r="H122" s="49"/>
      <c r="I122" s="49"/>
      <c r="J122" s="49"/>
    </row>
    <row r="123">
      <c r="B123" s="42"/>
      <c r="C123" s="42"/>
      <c r="D123" s="42"/>
      <c r="E123" s="42"/>
      <c r="F123" s="52"/>
      <c r="G123" s="49"/>
      <c r="H123" s="49"/>
      <c r="I123" s="49"/>
      <c r="J123" s="49"/>
    </row>
    <row r="124">
      <c r="B124" s="49"/>
      <c r="C124" s="49"/>
      <c r="D124" s="49"/>
      <c r="E124" s="49"/>
      <c r="F124" s="49"/>
      <c r="G124" s="49"/>
      <c r="H124" s="49"/>
      <c r="I124" s="49"/>
      <c r="J124" s="49"/>
    </row>
    <row r="125">
      <c r="B125" s="38" t="s">
        <v>42</v>
      </c>
      <c r="C125" s="34"/>
      <c r="D125" s="34"/>
      <c r="E125" s="34"/>
      <c r="F125" s="34"/>
      <c r="G125" s="34"/>
      <c r="H125" s="34"/>
      <c r="I125" s="34"/>
      <c r="J125" s="49"/>
    </row>
    <row r="126">
      <c r="B126" s="39" t="s">
        <v>43</v>
      </c>
      <c r="C126" s="39" t="s">
        <v>44</v>
      </c>
      <c r="D126" s="39" t="s">
        <v>45</v>
      </c>
      <c r="E126" s="39" t="s">
        <v>46</v>
      </c>
      <c r="F126" s="39" t="s">
        <v>26</v>
      </c>
      <c r="G126" s="39" t="s">
        <v>27</v>
      </c>
      <c r="H126" s="39" t="s">
        <v>33</v>
      </c>
      <c r="I126" s="39" t="s">
        <v>47</v>
      </c>
      <c r="J126" s="49"/>
    </row>
    <row r="127">
      <c r="B127" s="40" t="s">
        <v>8</v>
      </c>
      <c r="C127" s="40" t="s">
        <v>7</v>
      </c>
      <c r="D127" s="41">
        <v>0.0119</v>
      </c>
      <c r="E127" s="41">
        <v>0.0182</v>
      </c>
      <c r="F127" s="41">
        <v>-0.0241</v>
      </c>
      <c r="G127" s="41">
        <v>0.0479</v>
      </c>
      <c r="H127" s="53">
        <v>0.5137</v>
      </c>
      <c r="I127" s="52" t="s">
        <v>49</v>
      </c>
      <c r="J127" s="49"/>
    </row>
    <row r="128">
      <c r="B128" s="40" t="s">
        <v>8</v>
      </c>
      <c r="C128" s="40" t="s">
        <v>12</v>
      </c>
      <c r="D128" s="41">
        <v>0.0895</v>
      </c>
      <c r="E128" s="41">
        <v>0.014</v>
      </c>
      <c r="F128" s="41">
        <v>0.0617</v>
      </c>
      <c r="G128" s="41">
        <v>0.1173</v>
      </c>
      <c r="H128" s="53" t="s">
        <v>35</v>
      </c>
      <c r="I128" s="52" t="s">
        <v>48</v>
      </c>
      <c r="J128" s="49"/>
    </row>
    <row r="129">
      <c r="B129" s="40" t="s">
        <v>8</v>
      </c>
      <c r="C129" s="40" t="s">
        <v>9</v>
      </c>
      <c r="D129" s="41">
        <v>0.4113</v>
      </c>
      <c r="E129" s="41">
        <v>0.018</v>
      </c>
      <c r="F129" s="41">
        <v>0.3757</v>
      </c>
      <c r="G129" s="41">
        <v>0.4469</v>
      </c>
      <c r="H129" s="53" t="s">
        <v>35</v>
      </c>
      <c r="I129" s="52" t="s">
        <v>48</v>
      </c>
      <c r="J129" s="49"/>
    </row>
    <row r="130">
      <c r="B130" s="40" t="s">
        <v>8</v>
      </c>
      <c r="C130" s="40" t="s">
        <v>11</v>
      </c>
      <c r="D130" s="41">
        <v>-0.0594</v>
      </c>
      <c r="E130" s="41">
        <v>0.0057</v>
      </c>
      <c r="F130" s="41">
        <v>-0.0707</v>
      </c>
      <c r="G130" s="41">
        <v>-0.0481</v>
      </c>
      <c r="H130" s="53" t="s">
        <v>35</v>
      </c>
      <c r="I130" s="52" t="s">
        <v>48</v>
      </c>
      <c r="J130" s="49"/>
    </row>
    <row r="131">
      <c r="B131" s="40" t="s">
        <v>7</v>
      </c>
      <c r="C131" s="40" t="s">
        <v>12</v>
      </c>
      <c r="D131" s="41">
        <v>0.0776</v>
      </c>
      <c r="E131" s="41">
        <v>0.022</v>
      </c>
      <c r="F131" s="41">
        <v>0.0342</v>
      </c>
      <c r="G131" s="41">
        <v>0.121</v>
      </c>
      <c r="H131" s="53" t="s">
        <v>35</v>
      </c>
      <c r="I131" s="52" t="s">
        <v>48</v>
      </c>
      <c r="J131" s="49"/>
    </row>
    <row r="132">
      <c r="B132" s="40" t="s">
        <v>7</v>
      </c>
      <c r="C132" s="40" t="s">
        <v>9</v>
      </c>
      <c r="D132" s="41">
        <v>0.3994</v>
      </c>
      <c r="E132" s="41">
        <v>0.0247</v>
      </c>
      <c r="F132" s="41">
        <v>0.3507</v>
      </c>
      <c r="G132" s="41">
        <v>0.4481</v>
      </c>
      <c r="H132" s="53" t="s">
        <v>35</v>
      </c>
      <c r="I132" s="52" t="s">
        <v>48</v>
      </c>
      <c r="J132" s="49"/>
    </row>
    <row r="133">
      <c r="B133" s="40" t="s">
        <v>7</v>
      </c>
      <c r="C133" s="40" t="s">
        <v>11</v>
      </c>
      <c r="D133" s="41">
        <v>-0.0713</v>
      </c>
      <c r="E133" s="41">
        <v>0.0179</v>
      </c>
      <c r="F133" s="41">
        <v>-0.1068</v>
      </c>
      <c r="G133" s="41">
        <v>-0.0358</v>
      </c>
      <c r="H133" s="53" t="s">
        <v>35</v>
      </c>
      <c r="I133" s="52" t="s">
        <v>48</v>
      </c>
      <c r="J133" s="49"/>
    </row>
    <row r="134">
      <c r="B134" s="40" t="s">
        <v>12</v>
      </c>
      <c r="C134" s="40" t="s">
        <v>9</v>
      </c>
      <c r="D134" s="41">
        <v>0.3218</v>
      </c>
      <c r="E134" s="41">
        <v>0.0218</v>
      </c>
      <c r="F134" s="41">
        <v>0.2787</v>
      </c>
      <c r="G134" s="41">
        <v>0.3649</v>
      </c>
      <c r="H134" s="53" t="s">
        <v>35</v>
      </c>
      <c r="I134" s="52" t="s">
        <v>48</v>
      </c>
      <c r="J134" s="49"/>
    </row>
    <row r="135">
      <c r="B135" s="40" t="s">
        <v>12</v>
      </c>
      <c r="C135" s="40" t="s">
        <v>11</v>
      </c>
      <c r="D135" s="41">
        <v>-0.1489</v>
      </c>
      <c r="E135" s="41">
        <v>0.0137</v>
      </c>
      <c r="F135" s="41">
        <v>-0.176</v>
      </c>
      <c r="G135" s="41">
        <v>-0.1218</v>
      </c>
      <c r="H135" s="53" t="s">
        <v>35</v>
      </c>
      <c r="I135" s="52" t="s">
        <v>48</v>
      </c>
      <c r="J135" s="49"/>
    </row>
    <row r="136">
      <c r="B136" s="44" t="s">
        <v>9</v>
      </c>
      <c r="C136" s="44" t="s">
        <v>11</v>
      </c>
      <c r="D136" s="45">
        <v>-0.4707</v>
      </c>
      <c r="E136" s="45">
        <v>0.0177</v>
      </c>
      <c r="F136" s="45">
        <v>-0.5058</v>
      </c>
      <c r="G136" s="45">
        <v>-0.4356</v>
      </c>
      <c r="H136" s="54" t="s">
        <v>35</v>
      </c>
      <c r="I136" s="51" t="s">
        <v>48</v>
      </c>
      <c r="J136" s="49"/>
    </row>
  </sheetData>
  <mergeCells count="5">
    <mergeCell ref="B2:F2"/>
    <mergeCell ref="B106:J106"/>
    <mergeCell ref="B115:D115"/>
    <mergeCell ref="B120:F120"/>
    <mergeCell ref="B125:I12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2026-01-12T18:02:56Z</dcterms:created>
  <dc:creator>Gilmar Carvalho</dc:creator>
</cp:coreProperties>
</file>